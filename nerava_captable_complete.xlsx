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1 · Pre-Investment" sheetId="2" r:id="rId5"/>
    <sheet name="2 · Post-Swap + SAFE" sheetId="3" r:id="rId6"/>
    <sheet name="3 · SAFE Conversion" sheetId="4" r:id="rId7"/>
    <sheet name="4 · Exit Waterfall" sheetId="5" r:id="rId8"/>
    <sheet name="5 · Investor CRM" sheetId="6" r:id="rId9"/>
  </sheets>
</workbook>
</file>

<file path=xl/sharedStrings.xml><?xml version="1.0" encoding="utf-8"?>
<sst xmlns="http://schemas.openxmlformats.org/spreadsheetml/2006/main" uniqueCount="369">
  <si>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</si>
  <si>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</si>
  <si>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</si>
  <si>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</si>
  <si>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1 · Pre-Investment</t>
  </si>
  <si>
    <t>Table 1</t>
  </si>
  <si>
    <t>NERAVA, INC.  —  Pre-Investment Cap Table  ·  April 2026</t>
  </si>
  <si>
    <t>Blue text = hardcoded inputs  ·  Black = formulas  ·  Total authorized: 10,000,000 shares</t>
  </si>
  <si>
    <t>Shareholder</t>
  </si>
  <si>
    <t>Common
Shares</t>
  </si>
  <si>
    <t>Options /
Warrants</t>
  </si>
  <si>
    <t>Fully Diluted
Shares</t>
  </si>
  <si>
    <t>% Fully
Diluted</t>
  </si>
  <si>
    <t>Notes</t>
  </si>
  <si>
    <t>James Kirk  (Founder / CEO)</t>
  </si>
  <si>
    <t>RSPA vesting — founder common</t>
  </si>
  <si>
    <t>Parker Fairfield  (Co-Founder / COO)</t>
  </si>
  <si>
    <t>Co-founder common — consulting agreement</t>
  </si>
  <si>
    <t>Team Pool  (5 members)</t>
  </si>
  <si>
    <t>100K options each; board approval pending</t>
  </si>
  <si>
    <t>Future Employee Pool</t>
  </si>
  <si>
    <t>Reserved for next-12-month hires</t>
  </si>
  <si>
    <t>TOTAL — Fully Diluted</t>
  </si>
  <si>
    <t>10,000,000 shares authorized</t>
  </si>
  <si>
    <t>Ownership Summary</t>
  </si>
  <si>
    <t>Group</t>
  </si>
  <si>
    <t>Shares</t>
  </si>
  <si>
    <t>Fully Diluted</t>
  </si>
  <si>
    <t>% FD</t>
  </si>
  <si>
    <t>Founders (James + Parker)</t>
  </si>
  <si>
    <t>Option Pool (issued + reserved)</t>
  </si>
  <si>
    <t>—</t>
  </si>
  <si>
    <t>2 · Post-Swap + SAFE</t>
  </si>
  <si>
    <t>NERAVA, INC.  —  Post Equity Swap + $500K SAFE  ·  April 2026</t>
  </si>
  <si>
    <t>Equity swap: Nerava grants Kreg 5% at $8M post-money  ·  $500K SAFE at $8M cap  ·  Blue = inputs  ·  Black = formulas</t>
  </si>
  <si>
    <t>Key Assumptions  (edit blue cells)</t>
  </si>
  <si>
    <t>Assumption</t>
  </si>
  <si>
    <t>Value</t>
  </si>
  <si>
    <t>Note</t>
  </si>
  <si>
    <t>Pre-money valuation / SAFE cap</t>
  </si>
  <si>
    <t>Agreed $8M post-money cap on SAFE</t>
  </si>
  <si>
    <t>SAFE raise target</t>
  </si>
  <si>
    <t>Kreg $200K cash + ~$300K other investors</t>
  </si>
  <si>
    <t>Post-money valuation</t>
  </si>
  <si>
    <t>$8M cap + $500K raised</t>
  </si>
  <si>
    <t>Kreg cash at close</t>
  </si>
  <si>
    <t>From Kreg's $300K software budget</t>
  </si>
  <si>
    <t>Equity swap — Kreg % of Nerava</t>
  </si>
  <si>
    <t>5% granted to Kreg / EVject at $8M</t>
  </si>
  <si>
    <t>Kreg implied shares</t>
  </si>
  <si>
    <t>5% / 95% × 10M shares = 526,316</t>
  </si>
  <si>
    <t>SAFE investors implied %</t>
  </si>
  <si>
    <t>$500K ÷ $8.5M post = ~5.88%</t>
  </si>
  <si>
    <t>SAFE implied shares</t>
  </si>
  <si>
    <t>$500K ÷ $8M cap × 10M = 625,000</t>
  </si>
  <si>
    <t>Total FD shares post-swap+SAFE</t>
  </si>
  <si>
    <t>10M + 526K Kreg + 625K SAFE</t>
  </si>
  <si>
    <t>Type</t>
  </si>
  <si>
    <t>SAFE Shares
(implied)*</t>
  </si>
  <si>
    <t>Fully Diluted
(Pre-Conv.)</t>
  </si>
  <si>
    <t>% FD
Pre-Conv.</t>
  </si>
  <si>
    <t xml:space="preserve">  EXISTING EQUITY</t>
  </si>
  <si>
    <t>Founder</t>
  </si>
  <si>
    <t>Common — RSPA</t>
  </si>
  <si>
    <t>Common — consulting agreement</t>
  </si>
  <si>
    <t>Employee</t>
  </si>
  <si>
    <t>Issued options (board approval pending)</t>
  </si>
  <si>
    <t>Reserved</t>
  </si>
  <si>
    <t>Reserved for hires</t>
  </si>
  <si>
    <t xml:space="preserve">  NEW — EQUITY SWAP</t>
  </si>
  <si>
    <t>Kreg Peeler / EVject</t>
  </si>
  <si>
    <t>Strategic</t>
  </si>
  <si>
    <t>Equity swap: 5% at $8M  ·  term sheet sent 4/1/26</t>
  </si>
  <si>
    <t xml:space="preserve">  NEW — SAFE ROUND ($500K @ $8M CAP)</t>
  </si>
  <si>
    <t>SAFE Pool — $500K total</t>
  </si>
  <si>
    <t>SAFE</t>
  </si>
  <si>
    <t>$500K ÷ $8M cap = 625K implied  ·  CONVERTS at $25M+ priced round</t>
  </si>
  <si>
    <t xml:space="preserve">  ↳ Kreg / EVject  ($200K)</t>
  </si>
  <si>
    <t>$200K ÷ $8M × 10M = 250K implied shares</t>
  </si>
  <si>
    <t xml:space="preserve">  ↳ Adam Rutz / Trident  ($100K est.)</t>
  </si>
  <si>
    <t>If $100K invested  ·  meeting 4/3/26  ·  125K implied</t>
  </si>
  <si>
    <t xml:space="preserve">  ↳ Jean-Luc Parker / CGT  (TBD)</t>
  </si>
  <si>
    <t>TBD — follow-up pending  ·  part of $500K pool</t>
  </si>
  <si>
    <t xml:space="preserve">  ↳ Other SAFE Investors  ($200K)</t>
  </si>
  <si>
    <t>Remaining $200K of SAFE pool from strategic / angel investors</t>
  </si>
  <si>
    <t>TOTAL — Fully Diluted  (Pre-SAFE Conversion)</t>
  </si>
  <si>
    <t>SAFE shares are implied — not yet issued</t>
  </si>
  <si>
    <t>* SAFE shares = implied ownership at $8M cap — NOT legally issued until priced round.  The $500K pool row and its sub-rows (Kreg ↳, Adam ↳, etc.) are breakdowns of the SAME $500K — not additive.</t>
  </si>
  <si>
    <t>Founder Ownership Summary</t>
  </si>
  <si>
    <t>Stakeholder</t>
  </si>
  <si>
    <t>FD Shares</t>
  </si>
  <si>
    <t>% Pre-SAFE Conv.</t>
  </si>
  <si>
    <t>% Post-$500K SAFE</t>
  </si>
  <si>
    <t>% Post-$3M Round</t>
  </si>
  <si>
    <t>James Kirk</t>
  </si>
  <si>
    <t>~51.8% post $3M round</t>
  </si>
  <si>
    <t>Parker Fairfield</t>
  </si>
  <si>
    <t>~13.0% post $3M round</t>
  </si>
  <si>
    <t>Combined Founders</t>
  </si>
  <si>
    <t>~64.8% post $3M round</t>
  </si>
  <si>
    <t>3 · SAFE Conversion</t>
  </si>
  <si>
    <t>NERAVA, INC.  —  SAFE Conversion at $3M Priced Round  ·  $25M Post-Money</t>
  </si>
  <si>
    <t>$500K SAFE + Kreg equity swap convert at $25M+ priced round  ·  Blue = inputs  ·  Black = formulas</t>
  </si>
  <si>
    <t>Priced Round Assumptions</t>
  </si>
  <si>
    <t>Pre-money valuation at priced round</t>
  </si>
  <si>
    <t>Target $25M+ Series A</t>
  </si>
  <si>
    <t>New money raised</t>
  </si>
  <si>
    <t>Phase 3 raise target</t>
  </si>
  <si>
    <t>$25M + $3M</t>
  </si>
  <si>
    <t>SAFE cap</t>
  </si>
  <si>
    <t>Converts at cap (cap &lt; pre-money → cap applies)</t>
  </si>
  <si>
    <t>SAFE amount</t>
  </si>
  <si>
    <t>Total SAFE raised</t>
  </si>
  <si>
    <t>SAFE conversion price</t>
  </si>
  <si>
    <t>$8M cap ÷ 10M shares</t>
  </si>
  <si>
    <t>SAFE shares issued</t>
  </si>
  <si>
    <t>$500K ÷ $0.80 per share</t>
  </si>
  <si>
    <t>New Series A shares</t>
  </si>
  <si>
    <t>$3M ÷ $25M pre-money × base shares (approx)</t>
  </si>
  <si>
    <t>Total FD post-conversion</t>
  </si>
  <si>
    <t>10M + 526K + 625K + 1.2M</t>
  </si>
  <si>
    <t>% Post-Conversion</t>
  </si>
  <si>
    <t>Fully undiluted founder position</t>
  </si>
  <si>
    <t>Fully undiluted co-founder position</t>
  </si>
  <si>
    <t>Team Pool  (5 members, issued)</t>
  </si>
  <si>
    <t>Issued options vest over time</t>
  </si>
  <si>
    <t>Reserved — unissued</t>
  </si>
  <si>
    <t>Kreg Peeler / EVject  (equity swap)</t>
  </si>
  <si>
    <t>5% equity swap converts at close</t>
  </si>
  <si>
    <t>SAFE Investors  ($500K converted)</t>
  </si>
  <si>
    <t>$500K ÷ $8M cap = 625K shares issued</t>
  </si>
  <si>
    <t>Series A Investors  ($3M new money)</t>
  </si>
  <si>
    <t>$3M at $25M pre — approx 1.2M new shares</t>
  </si>
  <si>
    <t>Unallocated / Rounding</t>
  </si>
  <si>
    <t>TOTAL</t>
  </si>
  <si>
    <t>~12,351,316 fully diluted post-conversion</t>
  </si>
  <si>
    <t>4 · Exit Waterfall</t>
  </si>
  <si>
    <t>NERAVA, INC.  —  Exit Waterfall  ·  Post Equity Swap + $500K SAFE</t>
  </si>
  <si>
    <t>No participating preferred  ·  Texas: $0 state income tax  ·  Federal LTCG: 20%  ·  Based on post-$3M-round ownership  ·  QSBS may eliminate up to $10M federal tax — confirm with accountant</t>
  </si>
  <si>
    <t>Exit Scenario Inputs  (edit blue cells)</t>
  </si>
  <si>
    <t>Parameter</t>
  </si>
  <si>
    <t>Conservative</t>
  </si>
  <si>
    <t>Base Case</t>
  </si>
  <si>
    <t>Optimistic</t>
  </si>
  <si>
    <t>Exit valuation</t>
  </si>
  <si>
    <t>Gross acquisition price — Tesla / Amazon / Upside</t>
  </si>
  <si>
    <t>Federal LTCG rate</t>
  </si>
  <si>
    <t>20% long-term capital gains (held &gt;1 year)</t>
  </si>
  <si>
    <t>Texas state tax rate</t>
  </si>
  <si>
    <t>No state income tax — major advantage</t>
  </si>
  <si>
    <t>Net rate (1 − taxes)</t>
  </si>
  <si>
    <t>80% of gross proceeds — no state tax</t>
  </si>
  <si>
    <t>% Ownership
(Post $3M Round)</t>
  </si>
  <si>
    <t>Conservative
$50M Exit</t>
  </si>
  <si>
    <t>Base Case
$100M Exit</t>
  </si>
  <si>
    <t>Optimistic
$200M Exit</t>
  </si>
  <si>
    <t>James After-Tax
($50M)</t>
  </si>
  <si>
    <t>James After-Tax
($100M)</t>
  </si>
  <si>
    <t>James After-Tax
($200M)</t>
  </si>
  <si>
    <t>Parker Fairfield  (Co-Founder)</t>
  </si>
  <si>
    <t>SAFE Investors  ($500K)</t>
  </si>
  <si>
    <t>Series A Investors  ($3M)</t>
  </si>
  <si>
    <t>Other / Rounding</t>
  </si>
  <si>
    <t>~100%</t>
  </si>
  <si>
    <t>Personal Exit Floor Check</t>
  </si>
  <si>
    <t>Target</t>
  </si>
  <si>
    <t>Conservative ($50M)</t>
  </si>
  <si>
    <t>Base Case ($100M)</t>
  </si>
  <si>
    <t>Optimistic ($200M)</t>
  </si>
  <si>
    <t>James — Gross Proceeds</t>
  </si>
  <si>
    <t>James — After-Tax Net (×80%)</t>
  </si>
  <si>
    <t>Personal floor ($10M net)</t>
  </si>
  <si>
    <t>Floor met?</t>
  </si>
  <si>
    <t>⚠  NO</t>
  </si>
  <si>
    <t>✅  YES</t>
  </si>
  <si>
    <t>EVject stake bonus (2.5–5%)</t>
  </si>
  <si>
    <t>±$1.25–2.5M</t>
  </si>
  <si>
    <t>±$2.5–5M</t>
  </si>
  <si>
    <t>Floor: James nets &gt;$10M net at any exit above ~$23M  ·  EVject 2.5–5% adds $1.25–5M additional  ·  QSBS qualification could eliminate federal tax on first $10M of gains — confirm with accountant before any close.</t>
  </si>
  <si>
    <t>5 · Investor CRM</t>
  </si>
  <si>
    <t>NERAVA, INC.  —  Investor CRM  ·  April 2026</t>
  </si>
  <si>
    <t>Active deals (rows 4–7) + Ramp50 prospect list (rows 9+)  ·  Update Status and Next Follow-Up date weekly</t>
  </si>
  <si>
    <t>Contact / Firm</t>
  </si>
  <si>
    <t>Location</t>
  </si>
  <si>
    <t>Status</t>
  </si>
  <si>
    <t>Check Size</t>
  </si>
  <si>
    <t>Instrument</t>
  </si>
  <si>
    <t>SAFE Cap</t>
  </si>
  <si>
    <t>Probability</t>
  </si>
  <si>
    <t>Expected $</t>
  </si>
  <si>
    <t>Next Step</t>
  </si>
  <si>
    <t>Next Follow-Up</t>
  </si>
  <si>
    <t xml:space="preserve">  ACTIVE — IN DISCUSSION</t>
  </si>
  <si>
    <t>Kreg Peeler  /  EVject</t>
  </si>
  <si>
    <t>Texas</t>
  </si>
  <si>
    <t>Docs Out</t>
  </si>
  <si>
    <t>$200K cash + 5% equity swap</t>
  </si>
  <si>
    <t>Equity Swap + SAFE</t>
  </si>
  <si>
    <t>$8M</t>
  </si>
  <si>
    <t>Call week of 4/14. Board reviewing term sheet v2 (sent 4/1).</t>
  </si>
  <si>
    <t>2026-04-14</t>
  </si>
  <si>
    <t>Equity swap: 5% Nerava for 5% EVject. $200K cash at close. Amazon order status UNCONFIRMED — verify before finalizing terms. M&amp;A attorney needed this week.</t>
  </si>
  <si>
    <t>Adam Rutz  /  Trident Chargers</t>
  </si>
  <si>
    <t>Strategic/Angel</t>
  </si>
  <si>
    <t>Dallas/St. Louis</t>
  </si>
  <si>
    <t>Meeting / Pitching</t>
  </si>
  <si>
    <t>$100K SAFE (Option 2)</t>
  </si>
  <si>
    <t>In-person Austin 4/3. Get OCPP version. Propose pilot location.</t>
  </si>
  <si>
    <t>2026-04-03</t>
  </si>
  <si>
    <t>1,000+ locations. Crow Holdings 80+ multifamily. Said sponsorship model is missing key. Former Navy SEAL. Pre-meeting brief sent 4/1.</t>
  </si>
  <si>
    <t>Jean-Luc Parker  /  CGT Capital</t>
  </si>
  <si>
    <t>VC/Family Office</t>
  </si>
  <si>
    <t>TBD</t>
  </si>
  <si>
    <t>Deck Sent</t>
  </si>
  <si>
    <t>$100K–$250K SAFE</t>
  </si>
  <si>
    <t>Follow-up email overdue. Meeting was 3/28.</t>
  </si>
  <si>
    <t>2026-04-07</t>
  </si>
  <si>
    <t>IC member — needs full committee review. Overview email + deck sent 3/28. No response logged yet.</t>
  </si>
  <si>
    <t>Lewis Hill  /  New Vista Axis</t>
  </si>
  <si>
    <t>Connector/LP</t>
  </si>
  <si>
    <t>Intro Made</t>
  </si>
  <si>
    <t>N/A</t>
  </si>
  <si>
    <t>Thank-you note + update after Adam meeting 4/3.</t>
  </si>
  <si>
    <t>2026-04-05</t>
  </si>
  <si>
    <t>lewis@nva.vc — introduced James to Adam Rutz. Keep warm. Potential LP network access.</t>
  </si>
  <si>
    <t xml:space="preserve">  RAMP50 — PROSPECT LIST  (all status: Prospect / Researching)</t>
  </si>
  <si>
    <t>Capital Factory</t>
  </si>
  <si>
    <t>Accelerator</t>
  </si>
  <si>
    <t>Austin TX</t>
  </si>
  <si>
    <t>Prospect / Researching</t>
  </si>
  <si>
    <t>$25K–$150K</t>
  </si>
  <si>
    <t>Program</t>
  </si>
  <si>
    <t>Apply — mention Heights Pizzeria pilot</t>
  </si>
  <si>
    <t>Strong Austin ecosystem. Early-stage friendly.</t>
  </si>
  <si>
    <t>MoFo Pitch Day</t>
  </si>
  <si>
    <t>Competition</t>
  </si>
  <si>
    <t>Prize</t>
  </si>
  <si>
    <t>Non-dilutive</t>
  </si>
  <si>
    <t>Apply — Fintech/Data angle on verified arrivals</t>
  </si>
  <si>
    <t>Non-dilutive prize but good visibility.</t>
  </si>
  <si>
    <t>PearX (S26)</t>
  </si>
  <si>
    <t>Bay Area</t>
  </si>
  <si>
    <t>Apply — emphasize growth metrics</t>
  </si>
  <si>
    <t>They want outliers. Lead with growth rate.</t>
  </si>
  <si>
    <t>Plug and Play</t>
  </si>
  <si>
    <t>Apply — sponsor lane for utilities/corporates</t>
  </si>
  <si>
    <t>Strong energy vertical fit.</t>
  </si>
  <si>
    <t>gBETA</t>
  </si>
  <si>
    <t>Apply — Austin merchant density angle</t>
  </si>
  <si>
    <t>Halliburton Labs</t>
  </si>
  <si>
    <t>Houston TX</t>
  </si>
  <si>
    <t>Apply — energy transition efficiency</t>
  </si>
  <si>
    <t>Antler Austin</t>
  </si>
  <si>
    <t>Apply — Visa background + system navigation</t>
  </si>
  <si>
    <t>Techstars Austin</t>
  </si>
  <si>
    <t>Apply — API integration unfair advantage</t>
  </si>
  <si>
    <t>Village Global</t>
  </si>
  <si>
    <t>Seed VC</t>
  </si>
  <si>
    <t>SF/Remote</t>
  </si>
  <si>
    <t>$500K–$2M</t>
  </si>
  <si>
    <t>Warm intro needed — network effect framing</t>
  </si>
  <si>
    <t>Texas Venture Labs</t>
  </si>
  <si>
    <t>University</t>
  </si>
  <si>
    <t>Request student consultants for cluster mapping</t>
  </si>
  <si>
    <t>Silverton Partners</t>
  </si>
  <si>
    <t>$500K–$3M</t>
  </si>
  <si>
    <t>Warm intro — growth + marketplace potential</t>
  </si>
  <si>
    <t>Strong Austin Seed VC.</t>
  </si>
  <si>
    <t>RevTech Ventures</t>
  </si>
  <si>
    <t>Retail VC</t>
  </si>
  <si>
    <t>Dallas TX</t>
  </si>
  <si>
    <t>$250K–$1M</t>
  </si>
  <si>
    <t>Apply — retail-driver merchant ROI</t>
  </si>
  <si>
    <t>Rice Alliance</t>
  </si>
  <si>
    <t>Apply — energy transition + charger utility</t>
  </si>
  <si>
    <t>LiveOak Venture Partners</t>
  </si>
  <si>
    <t>Series A VC</t>
  </si>
  <si>
    <t>$1M–$5M</t>
  </si>
  <si>
    <t>Priced</t>
  </si>
  <si>
    <t>Plant seed now — revisit at $25M round</t>
  </si>
  <si>
    <t>Too early for check. Start relationship.</t>
  </si>
  <si>
    <t>S3 Ventures</t>
  </si>
  <si>
    <t>Early VC</t>
  </si>
  <si>
    <t>Apply — Tesla API technical moat</t>
  </si>
  <si>
    <t>Sputnik ATX</t>
  </si>
  <si>
    <t>Apply — revenue + traction focus</t>
  </si>
  <si>
    <t>Love $100K+ ARR. Heights Pizzeria is your proof.</t>
  </si>
  <si>
    <t>Chevron Technology Ventures</t>
  </si>
  <si>
    <t>Corporate VC</t>
  </si>
  <si>
    <t>$500K–$5M</t>
  </si>
  <si>
    <t>Apply — energy infrastructure efficiency</t>
  </si>
  <si>
    <t>Perot Jain</t>
  </si>
  <si>
    <t>$250K–$2M</t>
  </si>
  <si>
    <t>Apply — mobility + smart city logistics</t>
  </si>
  <si>
    <t>Greentown Labs</t>
  </si>
  <si>
    <t>Incubator</t>
  </si>
  <si>
    <t>Apply — ClimateTech + energy efficiency data</t>
  </si>
  <si>
    <t>Austin Technology Incubator</t>
  </si>
  <si>
    <t>Apply — deep tech + UT Austin affiliation</t>
  </si>
  <si>
    <t>Next Coast Ventures</t>
  </si>
  <si>
    <t>Apply — future of mobility, Texas market</t>
  </si>
  <si>
    <t>ATX Venture Partners</t>
  </si>
  <si>
    <t>Apply — API + marketplace + verified arrivals</t>
  </si>
  <si>
    <t>TXV Partners</t>
  </si>
  <si>
    <t>Apply — merchant-driver network effect loop</t>
  </si>
  <si>
    <t>RealCo Accelerator</t>
  </si>
  <si>
    <t>Apply — data moat + real estate (Trident angle)</t>
  </si>
  <si>
    <t>Real estate angle stronger now given Trident.</t>
  </si>
  <si>
    <t>Ecliptic Capital</t>
  </si>
  <si>
    <t>Apply — vehicle OS deep tech integration</t>
  </si>
  <si>
    <t>Goldcrest Capital</t>
  </si>
  <si>
    <t>Apply — infrastructure platform potential</t>
  </si>
  <si>
    <t>Mercury Fund</t>
  </si>
  <si>
    <t>Apply — SaaS/Fintech bridge for charging networks</t>
  </si>
  <si>
    <t>MassChallenge TX</t>
  </si>
  <si>
    <t>Apply — impact on local TX merchant economies</t>
  </si>
  <si>
    <t>CTAN (Central TX Angels)</t>
  </si>
  <si>
    <t>Angel Network</t>
  </si>
  <si>
    <t>$25K–$250K</t>
  </si>
  <si>
    <t>Apply — verified arrivals + API moat</t>
  </si>
  <si>
    <t>Good early check source.</t>
  </si>
  <si>
    <t>Houston Angel Network</t>
  </si>
  <si>
    <t>Apply — verified session infrastructure play</t>
  </si>
  <si>
    <t>North Texas Angel Network</t>
  </si>
  <si>
    <t>Apply — Dallas/FW retail merchant density</t>
  </si>
  <si>
    <t>SWAN (Southwest Angels)</t>
  </si>
  <si>
    <t>Impact VC</t>
  </si>
  <si>
    <t>TX Region</t>
  </si>
  <si>
    <t>Apply — EV adoption social impact</t>
  </si>
  <si>
    <t>8VC (Austin)</t>
  </si>
  <si>
    <t>Plant seed — too early for check</t>
  </si>
  <si>
    <t>Start relationship now.</t>
  </si>
  <si>
    <t>Interlock Partners</t>
  </si>
  <si>
    <t>Apply — fintech/ledger side of verified rewards</t>
  </si>
  <si>
    <t>Sevin Rosen Funds</t>
  </si>
  <si>
    <t>Plant seed — hard tech vehicle OS</t>
  </si>
  <si>
    <t>Geekdom</t>
  </si>
  <si>
    <t>San Antonio TX</t>
  </si>
  <si>
    <t>Apply — B2B SaaS + local merchant clusters</t>
  </si>
  <si>
    <t>Seed Round Capital</t>
  </si>
  <si>
    <t>Apply — mentorship to hit Series A metrics</t>
  </si>
  <si>
    <t>Shell Ventures</t>
  </si>
  <si>
    <t>Apply — Supercharger ROI via foot traffic</t>
  </si>
  <si>
    <t>Toyota Ventures</t>
  </si>
  <si>
    <t>Apply — connected car / telemetry API</t>
  </si>
  <si>
    <t>Tiff's Treats (Direct)</t>
  </si>
  <si>
    <t>Outreach — brand pilot for EV driver gifts</t>
  </si>
  <si>
    <t>Heights Pizzeria model replication.</t>
  </si>
  <si>
    <t>Texas Halo Fund</t>
  </si>
  <si>
    <t>Angel Fund</t>
  </si>
  <si>
    <t>Apply — early traction + merchant pilot</t>
  </si>
  <si>
    <t>Aristos Ventures</t>
  </si>
  <si>
    <t>Apply — mobile/cloud efficiency</t>
  </si>
  <si>
    <t>Blue Bear Capital</t>
  </si>
  <si>
    <t>Energy VC</t>
  </si>
  <si>
    <t>Apply — energy transition digital tool</t>
  </si>
  <si>
    <t>Quake Capital</t>
  </si>
  <si>
    <t>Apply — charging corridor logistics</t>
  </si>
  <si>
    <t>TiE Houston Angels</t>
  </si>
  <si>
    <t>Apply — global scalability of reward model</t>
  </si>
  <si>
    <t>Seaplane Ventures</t>
  </si>
  <si>
    <t>Apply — driver-driven network effects</t>
  </si>
  <si>
    <t>Dallas Venture Capital</t>
  </si>
  <si>
    <t>Apply — B2B SaaS for charging networks</t>
  </si>
  <si>
    <t>Ironspring Ventures</t>
  </si>
  <si>
    <t>Sector VC</t>
  </si>
  <si>
    <t>Apply — industrial nature of EV charging hubs</t>
  </si>
  <si>
    <t>Health Wildcatters</t>
  </si>
  <si>
    <t>Low priority — weak fit. Corporate wellness only.</t>
  </si>
</sst>
</file>

<file path=xl/styles.xml><?xml version="1.0" encoding="utf-8"?>
<styleSheet xmlns="http://schemas.openxmlformats.org/spreadsheetml/2006/main">
  <numFmts count="3">
    <numFmt numFmtId="0" formatCode="General"/>
    <numFmt numFmtId="59" formatCode="&quot;$&quot;#,##0"/>
    <numFmt numFmtId="60" formatCode="&quot;$&quot;0.000"/>
  </numFmts>
  <fonts count="13">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4"/>
      <color indexed="8"/>
      <name val="Calibri"/>
    </font>
    <font>
      <sz val="13"/>
      <color indexed="12"/>
      <name val="Arial"/>
    </font>
    <font>
      <sz val="8"/>
      <color indexed="15"/>
      <name val="Arial"/>
    </font>
    <font>
      <sz val="9"/>
      <color indexed="12"/>
      <name val="Arial"/>
    </font>
    <font>
      <sz val="9"/>
      <color indexed="19"/>
      <name val="Arial"/>
    </font>
    <font>
      <sz val="9"/>
      <color indexed="20"/>
      <name val="Arial"/>
    </font>
    <font>
      <sz val="9"/>
      <color indexed="15"/>
      <name val="Arial"/>
    </font>
    <font>
      <sz val="9"/>
      <color indexed="25"/>
      <name val="Arial"/>
    </font>
  </fonts>
  <fills count="13">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8"/>
        <bgColor auto="1"/>
      </patternFill>
    </fill>
    <fill>
      <patternFill patternType="solid">
        <fgColor indexed="12"/>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6"/>
        <bgColor auto="1"/>
      </patternFill>
    </fill>
  </fills>
  <borders count="21">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style="thin">
        <color indexed="17"/>
      </bottom>
      <diagonal/>
    </border>
    <border>
      <left/>
      <right/>
      <top/>
      <bottom style="thin">
        <color indexed="17"/>
      </bottom>
      <diagonal/>
    </border>
    <border>
      <left/>
      <right style="thin">
        <color indexed="14"/>
      </right>
      <top/>
      <bottom style="thin">
        <color indexed="17"/>
      </bottom>
      <diagonal/>
    </border>
    <border>
      <left style="thin">
        <color indexed="17"/>
      </left>
      <right style="thin">
        <color indexed="17"/>
      </right>
      <top style="thin">
        <color indexed="17"/>
      </top>
      <bottom style="thin">
        <color indexed="17"/>
      </bottom>
      <diagonal/>
    </border>
    <border>
      <left style="thin">
        <color indexed="14"/>
      </left>
      <right/>
      <top style="thin">
        <color indexed="17"/>
      </top>
      <bottom/>
      <diagonal/>
    </border>
    <border>
      <left/>
      <right/>
      <top style="thin">
        <color indexed="17"/>
      </top>
      <bottom/>
      <diagonal/>
    </border>
    <border>
      <left/>
      <right style="thin">
        <color indexed="14"/>
      </right>
      <top style="thin">
        <color indexed="17"/>
      </top>
      <bottom/>
      <diagonal/>
    </border>
    <border>
      <left style="thin">
        <color indexed="14"/>
      </left>
      <right/>
      <top/>
      <bottom/>
      <diagonal/>
    </border>
    <border>
      <left/>
      <right/>
      <top/>
      <bottom/>
      <diagonal/>
    </border>
    <border>
      <left/>
      <right style="thin">
        <color indexed="14"/>
      </right>
      <top/>
      <bottom/>
      <diagonal/>
    </border>
    <border>
      <left style="thin">
        <color indexed="14"/>
      </left>
      <right/>
      <top style="thin">
        <color indexed="17"/>
      </top>
      <bottom style="thin">
        <color indexed="17"/>
      </bottom>
      <diagonal/>
    </border>
    <border>
      <left/>
      <right/>
      <top style="thin">
        <color indexed="17"/>
      </top>
      <bottom style="thin">
        <color indexed="17"/>
      </bottom>
      <diagonal/>
    </border>
    <border>
      <left/>
      <right style="thin">
        <color indexed="14"/>
      </right>
      <top style="thin">
        <color indexed="17"/>
      </top>
      <bottom style="thin">
        <color indexed="17"/>
      </bottom>
      <diagonal/>
    </border>
    <border>
      <left style="thin">
        <color indexed="17"/>
      </left>
      <right style="thin">
        <color indexed="14"/>
      </right>
      <top style="thin">
        <color indexed="17"/>
      </top>
      <bottom style="thin">
        <color indexed="17"/>
      </bottom>
      <diagonal/>
    </border>
    <border>
      <left style="thin">
        <color indexed="14"/>
      </left>
      <right/>
      <top style="thin">
        <color indexed="17"/>
      </top>
      <bottom style="thin">
        <color indexed="14"/>
      </bottom>
      <diagonal/>
    </border>
    <border>
      <left/>
      <right/>
      <top style="thin">
        <color indexed="17"/>
      </top>
      <bottom style="thin">
        <color indexed="14"/>
      </bottom>
      <diagonal/>
    </border>
    <border>
      <left/>
      <right style="thin">
        <color indexed="14"/>
      </right>
      <top style="thin">
        <color indexed="17"/>
      </top>
      <bottom style="thin">
        <color indexed="14"/>
      </bottom>
      <diagonal/>
    </border>
  </borders>
  <cellStyleXfs count="1">
    <xf numFmtId="0" fontId="0" applyNumberFormat="0" applyFont="1" applyFill="0" applyBorder="0" applyAlignment="1" applyProtection="0">
      <alignment vertical="bottom"/>
    </xf>
  </cellStyleXfs>
  <cellXfs count="12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1" fontId="6" fillId="4" borderId="2" applyNumberFormat="1" applyFont="1" applyFill="1" applyBorder="1" applyAlignment="1" applyProtection="0">
      <alignment horizontal="center" vertical="center" wrapText="1"/>
    </xf>
    <xf numFmtId="1" fontId="6" fillId="4" borderId="3" applyNumberFormat="1" applyFont="1" applyFill="1" applyBorder="1" applyAlignment="1" applyProtection="0">
      <alignment horizontal="center" vertical="center" wrapText="1"/>
    </xf>
    <xf numFmtId="49" fontId="7" fillId="5" borderId="4" applyNumberFormat="1" applyFont="1" applyFill="1" applyBorder="1" applyAlignment="1" applyProtection="0">
      <alignment horizontal="left" vertical="center" wrapText="1"/>
    </xf>
    <xf numFmtId="1" fontId="7" fillId="5" borderId="5" applyNumberFormat="1" applyFont="1" applyFill="1" applyBorder="1" applyAlignment="1" applyProtection="0">
      <alignment horizontal="left" vertical="center" wrapText="1"/>
    </xf>
    <xf numFmtId="1" fontId="7" fillId="5" borderId="6" applyNumberFormat="1" applyFont="1" applyFill="1" applyBorder="1" applyAlignment="1" applyProtection="0">
      <alignment horizontal="left" vertical="center" wrapText="1"/>
    </xf>
    <xf numFmtId="49" fontId="8" fillId="6" borderId="7" applyNumberFormat="1" applyFont="1" applyFill="1" applyBorder="1" applyAlignment="1" applyProtection="0">
      <alignment horizontal="center" vertical="center" wrapText="1"/>
    </xf>
    <xf numFmtId="49" fontId="9" fillId="7" borderId="7" applyNumberFormat="1" applyFont="1" applyFill="1" applyBorder="1" applyAlignment="1" applyProtection="0">
      <alignment horizontal="left" vertical="center" wrapText="1"/>
    </xf>
    <xf numFmtId="3" fontId="10" fillId="7" borderId="7" applyNumberFormat="1" applyFont="1" applyFill="1" applyBorder="1" applyAlignment="1" applyProtection="0">
      <alignment horizontal="right" vertical="center" wrapText="1"/>
    </xf>
    <xf numFmtId="3" fontId="9" fillId="7" borderId="7" applyNumberFormat="1" applyFont="1" applyFill="1" applyBorder="1" applyAlignment="1" applyProtection="0">
      <alignment horizontal="right" vertical="center" wrapText="1"/>
    </xf>
    <xf numFmtId="10" fontId="9" fillId="7" borderId="7" applyNumberFormat="1" applyFont="1" applyFill="1" applyBorder="1" applyAlignment="1" applyProtection="0">
      <alignment horizontal="right" vertical="center" wrapText="1"/>
    </xf>
    <xf numFmtId="49" fontId="11" fillId="7" borderId="7" applyNumberFormat="1" applyFont="1" applyFill="1" applyBorder="1" applyAlignment="1" applyProtection="0">
      <alignment horizontal="left" vertical="center" wrapText="1"/>
    </xf>
    <xf numFmtId="49" fontId="9" fillId="8" borderId="7" applyNumberFormat="1" applyFont="1" applyFill="1" applyBorder="1" applyAlignment="1" applyProtection="0">
      <alignment horizontal="left" vertical="center" wrapText="1"/>
    </xf>
    <xf numFmtId="3" fontId="10" fillId="8" borderId="7" applyNumberFormat="1" applyFont="1" applyFill="1" applyBorder="1" applyAlignment="1" applyProtection="0">
      <alignment horizontal="right" vertical="center" wrapText="1"/>
    </xf>
    <xf numFmtId="3" fontId="9" fillId="8" borderId="7" applyNumberFormat="1" applyFont="1" applyFill="1" applyBorder="1" applyAlignment="1" applyProtection="0">
      <alignment horizontal="right" vertical="center" wrapText="1"/>
    </xf>
    <xf numFmtId="10" fontId="9" fillId="8" borderId="7" applyNumberFormat="1" applyFont="1" applyFill="1" applyBorder="1" applyAlignment="1" applyProtection="0">
      <alignment horizontal="right" vertical="center" wrapText="1"/>
    </xf>
    <xf numFmtId="49" fontId="11" fillId="8" borderId="7" applyNumberFormat="1" applyFont="1" applyFill="1" applyBorder="1" applyAlignment="1" applyProtection="0">
      <alignment horizontal="left" vertical="center" wrapText="1"/>
    </xf>
    <xf numFmtId="49" fontId="8" fillId="4" borderId="7" applyNumberFormat="1" applyFont="1" applyFill="1" applyBorder="1" applyAlignment="1" applyProtection="0">
      <alignment horizontal="left" vertical="center" wrapText="1"/>
    </xf>
    <xf numFmtId="3" fontId="8" fillId="4" borderId="7" applyNumberFormat="1" applyFont="1" applyFill="1" applyBorder="1" applyAlignment="1" applyProtection="0">
      <alignment vertical="bottom"/>
    </xf>
    <xf numFmtId="10" fontId="8" fillId="4" borderId="7" applyNumberFormat="1" applyFont="1" applyFill="1" applyBorder="1" applyAlignment="1" applyProtection="0">
      <alignment vertical="bottom"/>
    </xf>
    <xf numFmtId="49" fontId="8" fillId="4" borderId="7" applyNumberFormat="1" applyFont="1" applyFill="1" applyBorder="1" applyAlignment="1" applyProtection="0">
      <alignment vertical="bottom"/>
    </xf>
    <xf numFmtId="0" fontId="0" fillId="7" borderId="8" applyNumberFormat="0" applyFont="1" applyFill="1" applyBorder="1" applyAlignment="1" applyProtection="0">
      <alignment vertical="bottom"/>
    </xf>
    <xf numFmtId="0" fontId="0" fillId="7" borderId="9" applyNumberFormat="0" applyFont="1" applyFill="1" applyBorder="1" applyAlignment="1" applyProtection="0">
      <alignment vertical="bottom"/>
    </xf>
    <xf numFmtId="0" fontId="0" fillId="7" borderId="10" applyNumberFormat="0" applyFont="1" applyFill="1" applyBorder="1" applyAlignment="1" applyProtection="0">
      <alignment vertical="bottom"/>
    </xf>
    <xf numFmtId="49" fontId="8" fillId="6" borderId="4" applyNumberFormat="1" applyFont="1" applyFill="1" applyBorder="1" applyAlignment="1" applyProtection="0">
      <alignment horizontal="center" vertical="center" wrapText="1"/>
    </xf>
    <xf numFmtId="1" fontId="8" fillId="6" borderId="5" applyNumberFormat="1" applyFont="1" applyFill="1" applyBorder="1" applyAlignment="1" applyProtection="0">
      <alignment horizontal="center" vertical="center" wrapText="1"/>
    </xf>
    <xf numFmtId="1" fontId="8" fillId="6" borderId="6" applyNumberFormat="1" applyFont="1" applyFill="1" applyBorder="1" applyAlignment="1" applyProtection="0">
      <alignment horizontal="center" vertical="center" wrapText="1"/>
    </xf>
    <xf numFmtId="49" fontId="9" fillId="9" borderId="7" applyNumberFormat="1" applyFont="1" applyFill="1" applyBorder="1" applyAlignment="1" applyProtection="0">
      <alignment horizontal="center" vertical="center" wrapText="1"/>
    </xf>
    <xf numFmtId="1" fontId="9" fillId="9" borderId="7" applyNumberFormat="1" applyFont="1" applyFill="1" applyBorder="1" applyAlignment="1" applyProtection="0">
      <alignment horizontal="center" vertical="center" wrapText="1"/>
    </xf>
    <xf numFmtId="49" fontId="9" fillId="5" borderId="7" applyNumberFormat="1" applyFont="1" applyFill="1" applyBorder="1" applyAlignment="1" applyProtection="0">
      <alignment horizontal="left" vertical="center" wrapText="1"/>
    </xf>
    <xf numFmtId="1" fontId="9" fillId="5" borderId="7" applyNumberFormat="1" applyFont="1" applyFill="1" applyBorder="1" applyAlignment="1" applyProtection="0">
      <alignment horizontal="left" vertical="center" wrapText="1"/>
    </xf>
    <xf numFmtId="3" fontId="9" fillId="5" borderId="7" applyNumberFormat="1" applyFont="1" applyFill="1" applyBorder="1" applyAlignment="1" applyProtection="0">
      <alignment horizontal="right" vertical="center" wrapText="1"/>
    </xf>
    <xf numFmtId="10" fontId="9" fillId="5" borderId="7" applyNumberFormat="1" applyFont="1" applyFill="1" applyBorder="1" applyAlignment="1" applyProtection="0">
      <alignment horizontal="right" vertical="center" wrapText="1"/>
    </xf>
    <xf numFmtId="1" fontId="9" fillId="5" borderId="7" applyNumberFormat="1" applyFont="1" applyFill="1" applyBorder="1" applyAlignment="1" applyProtection="0">
      <alignment horizontal="right" vertical="center" wrapText="1"/>
    </xf>
    <xf numFmtId="1" fontId="9" fillId="7" borderId="7" applyNumberFormat="1" applyFont="1" applyFill="1" applyBorder="1" applyAlignment="1" applyProtection="0">
      <alignment horizontal="left" vertical="center" wrapText="1"/>
    </xf>
    <xf numFmtId="49" fontId="9" fillId="7" borderId="7" applyNumberFormat="1" applyFont="1" applyFill="1" applyBorder="1" applyAlignment="1" applyProtection="0">
      <alignment horizontal="right" vertical="center" wrapText="1"/>
    </xf>
    <xf numFmtId="1" fontId="9" fillId="7" borderId="7" applyNumberFormat="1" applyFont="1" applyFill="1" applyBorder="1" applyAlignment="1" applyProtection="0">
      <alignment horizontal="right" vertical="center" wrapText="1"/>
    </xf>
    <xf numFmtId="0" fontId="0" applyNumberFormat="1" applyFont="1" applyFill="0" applyBorder="0" applyAlignment="1" applyProtection="0">
      <alignment vertical="bottom"/>
    </xf>
    <xf numFmtId="49" fontId="7" fillId="5" borderId="11" applyNumberFormat="1" applyFont="1" applyFill="1" applyBorder="1" applyAlignment="1" applyProtection="0">
      <alignment horizontal="left" vertical="center" wrapText="1"/>
    </xf>
    <xf numFmtId="1" fontId="7" fillId="5" borderId="12" applyNumberFormat="1" applyFont="1" applyFill="1" applyBorder="1" applyAlignment="1" applyProtection="0">
      <alignment horizontal="left" vertical="center" wrapText="1"/>
    </xf>
    <xf numFmtId="1" fontId="7" fillId="5" borderId="13" applyNumberFormat="1" applyFont="1" applyFill="1" applyBorder="1" applyAlignment="1" applyProtection="0">
      <alignment horizontal="left" vertical="center" wrapText="1"/>
    </xf>
    <xf numFmtId="59" fontId="10" fillId="7" borderId="7" applyNumberFormat="1" applyFont="1" applyFill="1" applyBorder="1" applyAlignment="1" applyProtection="0">
      <alignment horizontal="right" vertical="center" wrapText="1"/>
    </xf>
    <xf numFmtId="1" fontId="11" fillId="7" borderId="7" applyNumberFormat="1" applyFont="1" applyFill="1" applyBorder="1" applyAlignment="1" applyProtection="0">
      <alignment horizontal="left" vertical="center" wrapText="1"/>
    </xf>
    <xf numFmtId="1" fontId="0" fillId="7" borderId="7" applyNumberFormat="1" applyFont="1" applyFill="1" applyBorder="1" applyAlignment="1" applyProtection="0">
      <alignment vertical="bottom"/>
    </xf>
    <xf numFmtId="59" fontId="10" fillId="8" borderId="7" applyNumberFormat="1" applyFont="1" applyFill="1" applyBorder="1" applyAlignment="1" applyProtection="0">
      <alignment horizontal="right" vertical="center" wrapText="1"/>
    </xf>
    <xf numFmtId="1" fontId="11" fillId="8" borderId="7" applyNumberFormat="1" applyFont="1" applyFill="1" applyBorder="1" applyAlignment="1" applyProtection="0">
      <alignment horizontal="left" vertical="center" wrapText="1"/>
    </xf>
    <xf numFmtId="1" fontId="0" fillId="8" borderId="7" applyNumberFormat="1" applyFont="1" applyFill="1" applyBorder="1" applyAlignment="1" applyProtection="0">
      <alignment vertical="bottom"/>
    </xf>
    <xf numFmtId="59" fontId="9" fillId="7" borderId="7" applyNumberFormat="1" applyFont="1" applyFill="1" applyBorder="1" applyAlignment="1" applyProtection="0">
      <alignment horizontal="right" vertical="center" wrapText="1"/>
    </xf>
    <xf numFmtId="10" fontId="10" fillId="7" borderId="7" applyNumberFormat="1" applyFont="1" applyFill="1" applyBorder="1" applyAlignment="1" applyProtection="0">
      <alignment horizontal="right" vertical="center" wrapText="1"/>
    </xf>
    <xf numFmtId="0" fontId="0" fillId="7" borderId="14" applyNumberFormat="0" applyFont="1" applyFill="1" applyBorder="1" applyAlignment="1" applyProtection="0">
      <alignment vertical="bottom"/>
    </xf>
    <xf numFmtId="0" fontId="0" fillId="7" borderId="15" applyNumberFormat="0" applyFont="1" applyFill="1" applyBorder="1" applyAlignment="1" applyProtection="0">
      <alignment vertical="bottom"/>
    </xf>
    <xf numFmtId="0" fontId="0" fillId="7" borderId="16" applyNumberFormat="0" applyFont="1" applyFill="1" applyBorder="1" applyAlignment="1" applyProtection="0">
      <alignment vertical="bottom"/>
    </xf>
    <xf numFmtId="49" fontId="7" fillId="9" borderId="14" applyNumberFormat="1" applyFont="1" applyFill="1" applyBorder="1" applyAlignment="1" applyProtection="0">
      <alignment horizontal="left" vertical="center" wrapText="1"/>
    </xf>
    <xf numFmtId="1" fontId="7" fillId="9" borderId="15" applyNumberFormat="1" applyFont="1" applyFill="1" applyBorder="1" applyAlignment="1" applyProtection="0">
      <alignment horizontal="left" vertical="center" wrapText="1"/>
    </xf>
    <xf numFmtId="1" fontId="7" fillId="9" borderId="16" applyNumberFormat="1" applyFont="1" applyFill="1" applyBorder="1" applyAlignment="1" applyProtection="0">
      <alignment horizontal="left" vertical="center" wrapText="1"/>
    </xf>
    <xf numFmtId="49" fontId="11" fillId="7" borderId="7" applyNumberFormat="1" applyFont="1" applyFill="1" applyBorder="1" applyAlignment="1" applyProtection="0">
      <alignment horizontal="center" vertical="center" wrapText="1"/>
    </xf>
    <xf numFmtId="10" fontId="9" fillId="7" borderId="7" applyNumberFormat="1" applyFont="1" applyFill="1" applyBorder="1" applyAlignment="1" applyProtection="0">
      <alignment horizontal="right" vertical="center"/>
    </xf>
    <xf numFmtId="49" fontId="11" fillId="8" borderId="7" applyNumberFormat="1" applyFont="1" applyFill="1" applyBorder="1" applyAlignment="1" applyProtection="0">
      <alignment horizontal="center" vertical="center" wrapText="1"/>
    </xf>
    <xf numFmtId="49" fontId="7" fillId="10" borderId="14" applyNumberFormat="1" applyFont="1" applyFill="1" applyBorder="1" applyAlignment="1" applyProtection="0">
      <alignment horizontal="left" vertical="center" wrapText="1"/>
    </xf>
    <xf numFmtId="1" fontId="7" fillId="10" borderId="15" applyNumberFormat="1" applyFont="1" applyFill="1" applyBorder="1" applyAlignment="1" applyProtection="0">
      <alignment horizontal="left" vertical="center" wrapText="1"/>
    </xf>
    <xf numFmtId="1" fontId="7" fillId="10" borderId="16" applyNumberFormat="1" applyFont="1" applyFill="1" applyBorder="1" applyAlignment="1" applyProtection="0">
      <alignment horizontal="left" vertical="center" wrapText="1"/>
    </xf>
    <xf numFmtId="49" fontId="7" fillId="11" borderId="14" applyNumberFormat="1" applyFont="1" applyFill="1" applyBorder="1" applyAlignment="1" applyProtection="0">
      <alignment horizontal="left" vertical="center" wrapText="1"/>
    </xf>
    <xf numFmtId="1" fontId="7" fillId="11" borderId="15" applyNumberFormat="1" applyFont="1" applyFill="1" applyBorder="1" applyAlignment="1" applyProtection="0">
      <alignment horizontal="left" vertical="center" wrapText="1"/>
    </xf>
    <xf numFmtId="1" fontId="7" fillId="11" borderId="16" applyNumberFormat="1" applyFont="1" applyFill="1" applyBorder="1" applyAlignment="1" applyProtection="0">
      <alignment horizontal="left" vertical="center" wrapText="1"/>
    </xf>
    <xf numFmtId="1" fontId="8" fillId="4" borderId="7" applyNumberFormat="1" applyFont="1" applyFill="1" applyBorder="1" applyAlignment="1" applyProtection="0">
      <alignment vertical="bottom"/>
    </xf>
    <xf numFmtId="49" fontId="7" fillId="5" borderId="8" applyNumberFormat="1" applyFont="1" applyFill="1" applyBorder="1" applyAlignment="1" applyProtection="0">
      <alignment horizontal="left" vertical="center" wrapText="1"/>
    </xf>
    <xf numFmtId="1" fontId="7" fillId="5" borderId="9" applyNumberFormat="1" applyFont="1" applyFill="1" applyBorder="1" applyAlignment="1" applyProtection="0">
      <alignment horizontal="left" vertical="center" wrapText="1"/>
    </xf>
    <xf numFmtId="1" fontId="7" fillId="5" borderId="10" applyNumberFormat="1" applyFont="1" applyFill="1" applyBorder="1" applyAlignment="1" applyProtection="0">
      <alignment horizontal="left" vertical="center" wrapText="1"/>
    </xf>
    <xf numFmtId="0" fontId="0" fillId="7" borderId="11" applyNumberFormat="0" applyFont="1" applyFill="1" applyBorder="1" applyAlignment="1" applyProtection="0">
      <alignment vertical="bottom"/>
    </xf>
    <xf numFmtId="0" fontId="0" fillId="7" borderId="12" applyNumberFormat="0" applyFont="1" applyFill="1" applyBorder="1" applyAlignment="1" applyProtection="0">
      <alignment vertical="bottom"/>
    </xf>
    <xf numFmtId="0" fontId="0" fillId="7" borderId="13" applyNumberFormat="0" applyFont="1" applyFill="1" applyBorder="1" applyAlignment="1" applyProtection="0">
      <alignment vertical="bottom"/>
    </xf>
    <xf numFmtId="1" fontId="0" fillId="5" borderId="7" applyNumberFormat="1" applyFont="1" applyFill="1" applyBorder="1" applyAlignment="1" applyProtection="0">
      <alignment vertical="bottom"/>
    </xf>
    <xf numFmtId="49" fontId="11" fillId="5" borderId="7"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1" fontId="0" borderId="7" applyNumberFormat="1" applyFont="1" applyFill="0" applyBorder="1" applyAlignment="1" applyProtection="0">
      <alignment vertical="bottom"/>
    </xf>
    <xf numFmtId="59" fontId="9" fillId="8" borderId="7" applyNumberFormat="1" applyFont="1" applyFill="1" applyBorder="1" applyAlignment="1" applyProtection="0">
      <alignment horizontal="right" vertical="center" wrapText="1"/>
    </xf>
    <xf numFmtId="60" fontId="9" fillId="8" borderId="7" applyNumberFormat="1" applyFont="1" applyFill="1" applyBorder="1" applyAlignment="1" applyProtection="0">
      <alignment horizontal="right" vertical="center" wrapText="1"/>
    </xf>
    <xf numFmtId="0" fontId="0" borderId="15" applyNumberFormat="0" applyFont="1" applyFill="0" applyBorder="1" applyAlignment="1" applyProtection="0">
      <alignment vertical="bottom"/>
    </xf>
    <xf numFmtId="0" fontId="0" borderId="16" applyNumberFormat="0" applyFont="1" applyFill="0" applyBorder="1" applyAlignment="1" applyProtection="0">
      <alignment vertical="bottom"/>
    </xf>
    <xf numFmtId="1" fontId="8" fillId="6" borderId="7"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1" fontId="11" fillId="7" borderId="17" applyNumberFormat="1" applyFont="1" applyFill="1" applyBorder="1" applyAlignment="1" applyProtection="0">
      <alignment horizontal="left" vertical="center" wrapText="1"/>
    </xf>
    <xf numFmtId="10" fontId="10" fillId="8" borderId="7" applyNumberFormat="1" applyFont="1" applyFill="1" applyBorder="1" applyAlignment="1" applyProtection="0">
      <alignment horizontal="right" vertical="center" wrapText="1"/>
    </xf>
    <xf numFmtId="1" fontId="11" fillId="8" borderId="17" applyNumberFormat="1" applyFont="1" applyFill="1" applyBorder="1" applyAlignment="1" applyProtection="0">
      <alignment horizontal="left" vertical="center" wrapText="1"/>
    </xf>
    <xf numFmtId="49" fontId="9" fillId="11" borderId="7" applyNumberFormat="1" applyFont="1" applyFill="1" applyBorder="1" applyAlignment="1" applyProtection="0">
      <alignment horizontal="left" vertical="center" wrapText="1"/>
    </xf>
    <xf numFmtId="10" fontId="10" fillId="11" borderId="7" applyNumberFormat="1" applyFont="1" applyFill="1" applyBorder="1" applyAlignment="1" applyProtection="0">
      <alignment horizontal="right" vertical="center" wrapText="1"/>
    </xf>
    <xf numFmtId="59" fontId="9" fillId="11" borderId="7" applyNumberFormat="1" applyFont="1" applyFill="1" applyBorder="1" applyAlignment="1" applyProtection="0">
      <alignment horizontal="right" vertical="center"/>
    </xf>
    <xf numFmtId="59" fontId="12" fillId="12" borderId="7" applyNumberFormat="1" applyFont="1" applyFill="1" applyBorder="1" applyAlignment="1" applyProtection="0">
      <alignment horizontal="right" vertical="center"/>
    </xf>
    <xf numFmtId="59" fontId="9" fillId="8" borderId="7" applyNumberFormat="1" applyFont="1" applyFill="1" applyBorder="1" applyAlignment="1" applyProtection="0">
      <alignment horizontal="right" vertical="center"/>
    </xf>
    <xf numFmtId="59" fontId="9" fillId="7" borderId="7" applyNumberFormat="1" applyFont="1" applyFill="1" applyBorder="1" applyAlignment="1" applyProtection="0">
      <alignment horizontal="right" vertical="center"/>
    </xf>
    <xf numFmtId="59" fontId="8" fillId="4" borderId="7" applyNumberFormat="1" applyFont="1" applyFill="1" applyBorder="1" applyAlignment="1" applyProtection="0">
      <alignment vertical="bottom"/>
    </xf>
    <xf numFmtId="49" fontId="9" fillId="12" borderId="7" applyNumberFormat="1" applyFont="1" applyFill="1" applyBorder="1" applyAlignment="1" applyProtection="0">
      <alignment horizontal="left" vertical="center" wrapText="1"/>
    </xf>
    <xf numFmtId="59" fontId="12" fillId="12" borderId="7" applyNumberFormat="1" applyFont="1" applyFill="1" applyBorder="1" applyAlignment="1" applyProtection="0">
      <alignment horizontal="right" vertical="center" wrapText="1"/>
    </xf>
    <xf numFmtId="1" fontId="0" fillId="12" borderId="7" applyNumberFormat="1" applyFont="1" applyFill="1" applyBorder="1" applyAlignment="1" applyProtection="0">
      <alignment vertical="bottom"/>
    </xf>
    <xf numFmtId="49" fontId="9" fillId="8" borderId="7" applyNumberFormat="1" applyFont="1" applyFill="1" applyBorder="1" applyAlignment="1" applyProtection="0">
      <alignment horizontal="right" vertical="center" wrapText="1"/>
    </xf>
    <xf numFmtId="49" fontId="7" fillId="5" borderId="18" applyNumberFormat="1" applyFont="1" applyFill="1" applyBorder="1" applyAlignment="1" applyProtection="0">
      <alignment horizontal="left" vertical="center" wrapText="1"/>
    </xf>
    <xf numFmtId="1" fontId="7" fillId="5" borderId="19" applyNumberFormat="1" applyFont="1" applyFill="1" applyBorder="1" applyAlignment="1" applyProtection="0">
      <alignment horizontal="left" vertical="center" wrapText="1"/>
    </xf>
    <xf numFmtId="1" fontId="7" fillId="5" borderId="20"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49" fontId="7" fillId="12" borderId="14" applyNumberFormat="1" applyFont="1" applyFill="1" applyBorder="1" applyAlignment="1" applyProtection="0">
      <alignment horizontal="left" vertical="center" wrapText="1"/>
    </xf>
    <xf numFmtId="1" fontId="7" fillId="12" borderId="15" applyNumberFormat="1" applyFont="1" applyFill="1" applyBorder="1" applyAlignment="1" applyProtection="0">
      <alignment horizontal="left" vertical="center" wrapText="1"/>
    </xf>
    <xf numFmtId="1" fontId="7" fillId="12" borderId="16" applyNumberFormat="1" applyFont="1" applyFill="1" applyBorder="1" applyAlignment="1" applyProtection="0">
      <alignment horizontal="left" vertical="center" wrapText="1"/>
    </xf>
    <xf numFmtId="49" fontId="9" fillId="5" borderId="7" applyNumberFormat="1" applyFont="1" applyFill="1" applyBorder="1" applyAlignment="1" applyProtection="0">
      <alignment horizontal="center" vertical="center" wrapText="1"/>
    </xf>
    <xf numFmtId="9" fontId="9" fillId="5" borderId="7" applyNumberFormat="1" applyFont="1" applyFill="1" applyBorder="1" applyAlignment="1" applyProtection="0">
      <alignment horizontal="center" vertical="center" wrapText="1"/>
    </xf>
    <xf numFmtId="59" fontId="9" fillId="5" borderId="7" applyNumberFormat="1" applyFont="1" applyFill="1" applyBorder="1" applyAlignment="1" applyProtection="0">
      <alignment horizontal="center" vertical="center" wrapText="1"/>
    </xf>
    <xf numFmtId="49" fontId="9" fillId="7" borderId="7" applyNumberFormat="1" applyFont="1" applyFill="1" applyBorder="1" applyAlignment="1" applyProtection="0">
      <alignment horizontal="center" vertical="center" wrapText="1"/>
    </xf>
    <xf numFmtId="9" fontId="9" fillId="7" borderId="7" applyNumberFormat="1" applyFont="1" applyFill="1" applyBorder="1" applyAlignment="1" applyProtection="0">
      <alignment horizontal="center" vertical="center" wrapText="1"/>
    </xf>
    <xf numFmtId="59" fontId="9" fillId="7" borderId="7" applyNumberFormat="1" applyFont="1" applyFill="1" applyBorder="1" applyAlignment="1" applyProtection="0">
      <alignment horizontal="center" vertical="center" wrapText="1"/>
    </xf>
    <xf numFmtId="49" fontId="9" fillId="8" borderId="7" applyNumberFormat="1" applyFont="1" applyFill="1" applyBorder="1" applyAlignment="1" applyProtection="0">
      <alignment horizontal="center" vertical="center" wrapText="1"/>
    </xf>
    <xf numFmtId="1" fontId="9" fillId="8" borderId="7" applyNumberFormat="1" applyFont="1" applyFill="1" applyBorder="1" applyAlignment="1" applyProtection="0">
      <alignment horizontal="center" vertical="center" wrapText="1"/>
    </xf>
    <xf numFmtId="9" fontId="9" fillId="8" borderId="7" applyNumberFormat="1" applyFont="1" applyFill="1" applyBorder="1" applyAlignment="1" applyProtection="0">
      <alignment horizontal="center" vertical="center" wrapText="1"/>
    </xf>
    <xf numFmtId="59" fontId="9" fillId="8" borderId="7" applyNumberFormat="1" applyFont="1" applyFill="1" applyBorder="1" applyAlignment="1" applyProtection="0">
      <alignment horizontal="center" vertical="center" wrapText="1"/>
    </xf>
    <xf numFmtId="1" fontId="9" fillId="8" borderId="7" applyNumberFormat="1" applyFont="1" applyFill="1" applyBorder="1" applyAlignment="1" applyProtection="0">
      <alignment horizontal="left" vertical="center" wrapText="1"/>
    </xf>
    <xf numFmtId="1" fontId="9" fillId="7" borderId="7" applyNumberFormat="1" applyFont="1" applyFill="1"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a1a2e"/>
      <rgbColor rgb="ffaaaaaa"/>
      <rgbColor rgb="ff64748b"/>
      <rgbColor rgb="ffeef2ff"/>
      <rgbColor rgb="ffcbd5e1"/>
      <rgbColor rgb="ff0f3460"/>
      <rgbColor rgb="ff0f172a"/>
      <rgbColor rgb="ff1d4ed8"/>
      <rgbColor rgb="fff7f8fc"/>
      <rgbColor rgb="ffe2e8f0"/>
      <rgbColor rgb="fffff7ed"/>
      <rgbColor rgb="ffeff6ff"/>
      <rgbColor rgb="ff166534"/>
      <rgbColor rgb="ffdcfce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32</v>
      </c>
      <c r="C11" s="3"/>
      <c r="D11" s="3"/>
    </row>
    <row r="12">
      <c r="B12" s="4"/>
      <c r="C12" t="s" s="4">
        <v>5</v>
      </c>
      <c r="D12" t="s" s="5">
        <v>32</v>
      </c>
    </row>
    <row r="13">
      <c r="B13" t="s" s="3">
        <v>100</v>
      </c>
      <c r="C13" s="3"/>
      <c r="D13" s="3"/>
    </row>
    <row r="14">
      <c r="B14" s="4"/>
      <c r="C14" t="s" s="4">
        <v>5</v>
      </c>
      <c r="D14" t="s" s="5">
        <v>100</v>
      </c>
    </row>
    <row r="15">
      <c r="B15" t="s" s="3">
        <v>136</v>
      </c>
      <c r="C15" s="3"/>
      <c r="D15" s="3"/>
    </row>
    <row r="16">
      <c r="B16" s="4"/>
      <c r="C16" t="s" s="4">
        <v>5</v>
      </c>
      <c r="D16" t="s" s="5">
        <v>136</v>
      </c>
    </row>
    <row r="17">
      <c r="B17" t="s" s="3">
        <v>179</v>
      </c>
      <c r="C17" s="3"/>
      <c r="D17" s="3"/>
    </row>
    <row r="18">
      <c r="B18" s="4"/>
      <c r="C18" t="s" s="4">
        <v>5</v>
      </c>
      <c r="D18" t="s" s="5">
        <v>179</v>
      </c>
    </row>
  </sheetData>
  <mergeCells count="1">
    <mergeCell ref="B3:D3"/>
  </mergeCells>
  <hyperlinks>
    <hyperlink ref="D10" location="'1 · Pre-Investment'!R1C1" tooltip="" display="1 · Pre-Investment"/>
    <hyperlink ref="D12" location="'2 · Post-Swap + SAFE'!R1C1" tooltip="" display="2 · Post-Swap + SAFE"/>
    <hyperlink ref="D14" location="'3 · SAFE Conversion'!R1C1" tooltip="" display="3 · SAFE Conversion"/>
    <hyperlink ref="D16" location="'4 · Exit Waterfall'!R1C1" tooltip="" display="4 · Exit Waterfall"/>
    <hyperlink ref="D18" location="'5 · Investor CRM'!R1C1" tooltip="" display="5 · Investor CRM"/>
  </hyperlinks>
</worksheet>
</file>

<file path=xl/worksheets/sheet2.xml><?xml version="1.0" encoding="utf-8"?>
<worksheet xmlns:r="http://schemas.openxmlformats.org/officeDocument/2006/relationships" xmlns="http://schemas.openxmlformats.org/spreadsheetml/2006/main">
  <dimension ref="A1:F13"/>
  <sheetViews>
    <sheetView workbookViewId="0" showGridLines="0" defaultGridColor="1"/>
  </sheetViews>
  <sheetFormatPr defaultColWidth="8.66667" defaultRowHeight="15" customHeight="1" outlineLevelRow="0" outlineLevelCol="0"/>
  <cols>
    <col min="1" max="1" width="34" style="6" customWidth="1"/>
    <col min="2" max="2" width="14" style="6" customWidth="1"/>
    <col min="3" max="3" width="15" style="6" customWidth="1"/>
    <col min="4" max="4" width="16" style="6" customWidth="1"/>
    <col min="5" max="5" width="13" style="6" customWidth="1"/>
    <col min="6" max="6" width="40" style="6" customWidth="1"/>
    <col min="7" max="16384" width="8.67188" style="6" customWidth="1"/>
  </cols>
  <sheetData>
    <row r="1" ht="27.75" customHeight="1">
      <c r="A1" t="s" s="7">
        <v>6</v>
      </c>
      <c r="B1" s="8"/>
      <c r="C1" s="8"/>
      <c r="D1" s="8"/>
      <c r="E1" s="8"/>
      <c r="F1" s="9"/>
    </row>
    <row r="2" ht="15.75" customHeight="1">
      <c r="A2" t="s" s="10">
        <v>7</v>
      </c>
      <c r="B2" s="11"/>
      <c r="C2" s="11"/>
      <c r="D2" s="11"/>
      <c r="E2" s="11"/>
      <c r="F2" s="12"/>
    </row>
    <row r="3" ht="31.5" customHeight="1">
      <c r="A3" t="s" s="13">
        <v>8</v>
      </c>
      <c r="B3" t="s" s="13">
        <v>9</v>
      </c>
      <c r="C3" t="s" s="13">
        <v>10</v>
      </c>
      <c r="D3" t="s" s="13">
        <v>11</v>
      </c>
      <c r="E3" t="s" s="13">
        <v>12</v>
      </c>
      <c r="F3" t="s" s="13">
        <v>13</v>
      </c>
    </row>
    <row r="4" ht="15" customHeight="1">
      <c r="A4" t="s" s="14">
        <v>14</v>
      </c>
      <c r="B4" s="15">
        <v>6720000</v>
      </c>
      <c r="C4" s="15">
        <v>0</v>
      </c>
      <c r="D4" s="16">
        <f>B4+C4</f>
        <v>6720000</v>
      </c>
      <c r="E4" s="17">
        <f>D4/D8</f>
        <v>0.672</v>
      </c>
      <c r="F4" t="s" s="18">
        <v>15</v>
      </c>
    </row>
    <row r="5" ht="15" customHeight="1">
      <c r="A5" t="s" s="19">
        <v>16</v>
      </c>
      <c r="B5" s="20">
        <v>1680000</v>
      </c>
      <c r="C5" s="20">
        <v>0</v>
      </c>
      <c r="D5" s="21">
        <f>B5+C5</f>
        <v>1680000</v>
      </c>
      <c r="E5" s="22">
        <f>D5/D8</f>
        <v>0.168</v>
      </c>
      <c r="F5" t="s" s="23">
        <v>17</v>
      </c>
    </row>
    <row r="6" ht="15" customHeight="1">
      <c r="A6" t="s" s="14">
        <v>18</v>
      </c>
      <c r="B6" s="15">
        <v>0</v>
      </c>
      <c r="C6" s="15">
        <v>600000</v>
      </c>
      <c r="D6" s="16">
        <f>B6+C6</f>
        <v>600000</v>
      </c>
      <c r="E6" s="17">
        <f>D6/D8</f>
        <v>0.06</v>
      </c>
      <c r="F6" t="s" s="18">
        <v>19</v>
      </c>
    </row>
    <row r="7" ht="15" customHeight="1">
      <c r="A7" t="s" s="19">
        <v>20</v>
      </c>
      <c r="B7" s="20">
        <v>0</v>
      </c>
      <c r="C7" s="20">
        <v>1000000</v>
      </c>
      <c r="D7" s="21">
        <f>B7+C7</f>
        <v>1000000</v>
      </c>
      <c r="E7" s="22">
        <f>D7/D8</f>
        <v>0.1</v>
      </c>
      <c r="F7" t="s" s="23">
        <v>21</v>
      </c>
    </row>
    <row r="8" ht="18" customHeight="1">
      <c r="A8" t="s" s="24">
        <v>22</v>
      </c>
      <c r="B8" s="25">
        <f>SUM(B4:B7)</f>
        <v>8400000</v>
      </c>
      <c r="C8" s="25">
        <f>SUM(C4:C7)</f>
        <v>1600000</v>
      </c>
      <c r="D8" s="25">
        <f>SUM(D4:D7)</f>
        <v>10000000</v>
      </c>
      <c r="E8" s="26">
        <v>1</v>
      </c>
      <c r="F8" t="s" s="27">
        <v>23</v>
      </c>
    </row>
    <row r="9" ht="8" customHeight="1">
      <c r="A9" s="28"/>
      <c r="B9" s="29"/>
      <c r="C9" s="29"/>
      <c r="D9" s="29"/>
      <c r="E9" s="29"/>
      <c r="F9" s="30"/>
    </row>
    <row r="10" ht="18" customHeight="1">
      <c r="A10" t="s" s="31">
        <v>24</v>
      </c>
      <c r="B10" s="32"/>
      <c r="C10" s="32"/>
      <c r="D10" s="32"/>
      <c r="E10" s="32"/>
      <c r="F10" s="33"/>
    </row>
    <row r="11" ht="31.5" customHeight="1">
      <c r="A11" t="s" s="34">
        <v>25</v>
      </c>
      <c r="B11" s="35"/>
      <c r="C11" t="s" s="34">
        <v>26</v>
      </c>
      <c r="D11" t="s" s="34">
        <v>27</v>
      </c>
      <c r="E11" t="s" s="34">
        <v>28</v>
      </c>
      <c r="F11" s="35"/>
    </row>
    <row r="12" ht="15" customHeight="1">
      <c r="A12" t="s" s="36">
        <v>29</v>
      </c>
      <c r="B12" s="37"/>
      <c r="C12" s="38">
        <f>B4+B5</f>
        <v>8400000</v>
      </c>
      <c r="D12" s="38">
        <f>D4+D5</f>
        <v>8400000</v>
      </c>
      <c r="E12" s="39">
        <f>D12/D8</f>
        <v>0.84</v>
      </c>
      <c r="F12" s="40"/>
    </row>
    <row r="13" ht="15" customHeight="1">
      <c r="A13" t="s" s="14">
        <v>30</v>
      </c>
      <c r="B13" s="41"/>
      <c r="C13" t="s" s="42">
        <v>31</v>
      </c>
      <c r="D13" s="16">
        <f>D6+D7</f>
        <v>1600000</v>
      </c>
      <c r="E13" s="17">
        <f>D13/D8</f>
        <v>0.16</v>
      </c>
      <c r="F13" s="43"/>
    </row>
  </sheetData>
  <mergeCells count="5">
    <mergeCell ref="A1:F1"/>
    <mergeCell ref="A2:F2"/>
    <mergeCell ref="A10:F10"/>
    <mergeCell ref="A12:B12"/>
    <mergeCell ref="A13:B13"/>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36"/>
  <sheetViews>
    <sheetView workbookViewId="0" showGridLines="0" defaultGridColor="1"/>
  </sheetViews>
  <sheetFormatPr defaultColWidth="8.66667" defaultRowHeight="15" customHeight="1" outlineLevelRow="0" outlineLevelCol="0"/>
  <cols>
    <col min="1" max="1" width="36" style="44" customWidth="1"/>
    <col min="2" max="2" width="12" style="44" customWidth="1"/>
    <col min="3" max="5" width="14" style="44" customWidth="1"/>
    <col min="6" max="6" width="16" style="44" customWidth="1"/>
    <col min="7" max="7" width="13" style="44" customWidth="1"/>
    <col min="8" max="8" width="50" style="44" customWidth="1"/>
    <col min="9" max="16384" width="8.67188" style="44" customWidth="1"/>
  </cols>
  <sheetData>
    <row r="1" ht="27.75" customHeight="1">
      <c r="A1" t="s" s="7">
        <v>33</v>
      </c>
      <c r="B1" s="8"/>
      <c r="C1" s="8"/>
      <c r="D1" s="8"/>
      <c r="E1" s="8"/>
      <c r="F1" s="8"/>
      <c r="G1" s="8"/>
      <c r="H1" s="9"/>
    </row>
    <row r="2" ht="15.75" customHeight="1">
      <c r="A2" t="s" s="45">
        <v>34</v>
      </c>
      <c r="B2" s="46"/>
      <c r="C2" s="46"/>
      <c r="D2" s="46"/>
      <c r="E2" s="46"/>
      <c r="F2" s="46"/>
      <c r="G2" s="46"/>
      <c r="H2" s="47"/>
    </row>
    <row r="3" ht="18" customHeight="1">
      <c r="A3" t="s" s="31">
        <v>35</v>
      </c>
      <c r="B3" s="32"/>
      <c r="C3" s="32"/>
      <c r="D3" s="32"/>
      <c r="E3" s="32"/>
      <c r="F3" s="32"/>
      <c r="G3" s="32"/>
      <c r="H3" s="33"/>
    </row>
    <row r="4" ht="31.5" customHeight="1">
      <c r="A4" t="s" s="34">
        <v>36</v>
      </c>
      <c r="B4" t="s" s="34">
        <v>37</v>
      </c>
      <c r="C4" s="35"/>
      <c r="D4" t="s" s="34">
        <v>38</v>
      </c>
      <c r="E4" s="35"/>
      <c r="F4" s="35"/>
      <c r="G4" s="35"/>
      <c r="H4" s="35"/>
    </row>
    <row r="5" ht="21.75" customHeight="1">
      <c r="A5" t="s" s="14">
        <v>39</v>
      </c>
      <c r="B5" s="48">
        <v>7500000</v>
      </c>
      <c r="C5" t="s" s="18">
        <v>40</v>
      </c>
      <c r="D5" s="49"/>
      <c r="E5" s="50"/>
      <c r="F5" s="50"/>
      <c r="G5" s="50"/>
      <c r="H5" s="50"/>
    </row>
    <row r="6" ht="21.75" customHeight="1">
      <c r="A6" t="s" s="19">
        <v>41</v>
      </c>
      <c r="B6" s="51">
        <v>500000</v>
      </c>
      <c r="C6" t="s" s="23">
        <v>42</v>
      </c>
      <c r="D6" s="52"/>
      <c r="E6" s="53"/>
      <c r="F6" s="53"/>
      <c r="G6" s="53"/>
      <c r="H6" s="53"/>
    </row>
    <row r="7" ht="15" customHeight="1">
      <c r="A7" t="s" s="14">
        <v>43</v>
      </c>
      <c r="B7" s="54">
        <v>8000000</v>
      </c>
      <c r="C7" t="s" s="18">
        <v>44</v>
      </c>
      <c r="D7" s="49"/>
      <c r="E7" s="50"/>
      <c r="F7" s="50"/>
      <c r="G7" s="50"/>
      <c r="H7" s="50"/>
    </row>
    <row r="8" ht="15" customHeight="1">
      <c r="A8" t="s" s="19">
        <v>45</v>
      </c>
      <c r="B8" s="51">
        <v>200000</v>
      </c>
      <c r="C8" t="s" s="23">
        <v>46</v>
      </c>
      <c r="D8" s="52"/>
      <c r="E8" s="53"/>
      <c r="F8" s="53"/>
      <c r="G8" s="53"/>
      <c r="H8" s="53"/>
    </row>
    <row r="9" ht="15" customHeight="1">
      <c r="A9" t="s" s="14">
        <v>47</v>
      </c>
      <c r="B9" s="55">
        <v>0.05</v>
      </c>
      <c r="C9" t="s" s="18">
        <v>48</v>
      </c>
      <c r="D9" s="49"/>
      <c r="E9" s="50"/>
      <c r="F9" s="50"/>
      <c r="G9" s="50"/>
      <c r="H9" s="50"/>
    </row>
    <row r="10" ht="15" customHeight="1">
      <c r="A10" t="s" s="19">
        <v>49</v>
      </c>
      <c r="B10" s="21">
        <v>500000</v>
      </c>
      <c r="C10" t="s" s="23">
        <v>50</v>
      </c>
      <c r="D10" s="52"/>
      <c r="E10" s="53"/>
      <c r="F10" s="53"/>
      <c r="G10" s="53"/>
      <c r="H10" s="53"/>
    </row>
    <row r="11" ht="15" customHeight="1">
      <c r="A11" t="s" s="14">
        <v>51</v>
      </c>
      <c r="B11" s="17">
        <v>0.0625</v>
      </c>
      <c r="C11" t="s" s="18">
        <v>52</v>
      </c>
      <c r="D11" s="49"/>
      <c r="E11" s="50"/>
      <c r="F11" s="50"/>
      <c r="G11" s="50"/>
      <c r="H11" s="50"/>
    </row>
    <row r="12" ht="15" customHeight="1">
      <c r="A12" t="s" s="19">
        <v>53</v>
      </c>
      <c r="B12" s="21">
        <v>625000</v>
      </c>
      <c r="C12" t="s" s="23">
        <v>54</v>
      </c>
      <c r="D12" s="52"/>
      <c r="E12" s="53"/>
      <c r="F12" s="53"/>
      <c r="G12" s="53"/>
      <c r="H12" s="53"/>
    </row>
    <row r="13" ht="15" customHeight="1">
      <c r="A13" t="s" s="14">
        <v>55</v>
      </c>
      <c r="B13" s="16">
        <v>11151316</v>
      </c>
      <c r="C13" t="s" s="18">
        <v>56</v>
      </c>
      <c r="D13" s="49"/>
      <c r="E13" s="50"/>
      <c r="F13" s="50"/>
      <c r="G13" s="50"/>
      <c r="H13" s="50"/>
    </row>
    <row r="14" ht="8" customHeight="1">
      <c r="A14" s="56"/>
      <c r="B14" s="57"/>
      <c r="C14" s="57"/>
      <c r="D14" s="57"/>
      <c r="E14" s="57"/>
      <c r="F14" s="57"/>
      <c r="G14" s="57"/>
      <c r="H14" s="58"/>
    </row>
    <row r="15" ht="31.5" customHeight="1">
      <c r="A15" t="s" s="13">
        <v>8</v>
      </c>
      <c r="B15" t="s" s="13">
        <v>57</v>
      </c>
      <c r="C15" t="s" s="13">
        <v>9</v>
      </c>
      <c r="D15" t="s" s="13">
        <v>58</v>
      </c>
      <c r="E15" t="s" s="13">
        <v>10</v>
      </c>
      <c r="F15" t="s" s="13">
        <v>59</v>
      </c>
      <c r="G15" t="s" s="13">
        <v>60</v>
      </c>
      <c r="H15" t="s" s="13">
        <v>13</v>
      </c>
    </row>
    <row r="16" ht="15.75" customHeight="1">
      <c r="A16" t="s" s="59">
        <v>61</v>
      </c>
      <c r="B16" s="60"/>
      <c r="C16" s="60"/>
      <c r="D16" s="60"/>
      <c r="E16" s="60"/>
      <c r="F16" s="60"/>
      <c r="G16" s="60"/>
      <c r="H16" s="61"/>
    </row>
    <row r="17" ht="15" customHeight="1">
      <c r="A17" t="s" s="14">
        <v>14</v>
      </c>
      <c r="B17" t="s" s="62">
        <v>62</v>
      </c>
      <c r="C17" s="15">
        <v>6720000</v>
      </c>
      <c r="D17" s="15">
        <v>0</v>
      </c>
      <c r="E17" s="15">
        <v>0</v>
      </c>
      <c r="F17" s="16">
        <f>C17+D17+E17</f>
        <v>6720000</v>
      </c>
      <c r="G17" s="63">
        <f>F17/F29</f>
        <v>0.604044943820225</v>
      </c>
      <c r="H17" t="s" s="18">
        <v>63</v>
      </c>
    </row>
    <row r="18" ht="15" customHeight="1">
      <c r="A18" t="s" s="19">
        <v>16</v>
      </c>
      <c r="B18" t="s" s="64">
        <v>62</v>
      </c>
      <c r="C18" s="20">
        <v>1680000</v>
      </c>
      <c r="D18" s="20">
        <v>0</v>
      </c>
      <c r="E18" s="20">
        <v>0</v>
      </c>
      <c r="F18" s="21">
        <f>C18+D18+E18</f>
        <v>1680000</v>
      </c>
      <c r="G18" s="63">
        <f>F18/F29</f>
        <v>0.151011235955056</v>
      </c>
      <c r="H18" t="s" s="23">
        <v>64</v>
      </c>
    </row>
    <row r="19" ht="15" customHeight="1">
      <c r="A19" t="s" s="14">
        <v>18</v>
      </c>
      <c r="B19" t="s" s="62">
        <v>65</v>
      </c>
      <c r="C19" s="15">
        <v>0</v>
      </c>
      <c r="D19" s="15">
        <v>0</v>
      </c>
      <c r="E19" s="15">
        <v>600000</v>
      </c>
      <c r="F19" s="16">
        <f>C19+D19+E19</f>
        <v>600000</v>
      </c>
      <c r="G19" s="63">
        <f>F19/F29</f>
        <v>0.0539325842696629</v>
      </c>
      <c r="H19" t="s" s="18">
        <v>66</v>
      </c>
    </row>
    <row r="20" ht="15" customHeight="1">
      <c r="A20" t="s" s="19">
        <v>20</v>
      </c>
      <c r="B20" t="s" s="64">
        <v>67</v>
      </c>
      <c r="C20" s="20">
        <v>0</v>
      </c>
      <c r="D20" s="20">
        <v>0</v>
      </c>
      <c r="E20" s="20">
        <v>1000000</v>
      </c>
      <c r="F20" s="21">
        <f>C20+D20+E20</f>
        <v>1000000</v>
      </c>
      <c r="G20" s="63">
        <f>F20/F29</f>
        <v>0.0898876404494382</v>
      </c>
      <c r="H20" t="s" s="23">
        <v>68</v>
      </c>
    </row>
    <row r="21" ht="15.75" customHeight="1">
      <c r="A21" t="s" s="65">
        <v>69</v>
      </c>
      <c r="B21" s="66"/>
      <c r="C21" s="66"/>
      <c r="D21" s="66"/>
      <c r="E21" s="66"/>
      <c r="F21" s="66"/>
      <c r="G21" s="66"/>
      <c r="H21" s="67"/>
    </row>
    <row r="22" ht="15" customHeight="1">
      <c r="A22" t="s" s="14">
        <v>70</v>
      </c>
      <c r="B22" t="s" s="62">
        <v>71</v>
      </c>
      <c r="C22" s="15">
        <v>0</v>
      </c>
      <c r="D22" s="15">
        <v>0</v>
      </c>
      <c r="E22" s="15">
        <v>500000</v>
      </c>
      <c r="F22" s="16">
        <f>C22+D22+E22</f>
        <v>500000</v>
      </c>
      <c r="G22" s="63">
        <f>F22/F29</f>
        <v>0.0449438202247191</v>
      </c>
      <c r="H22" t="s" s="18">
        <v>72</v>
      </c>
    </row>
    <row r="23" ht="15.75" customHeight="1">
      <c r="A23" t="s" s="68">
        <v>73</v>
      </c>
      <c r="B23" s="69"/>
      <c r="C23" s="69"/>
      <c r="D23" s="69"/>
      <c r="E23" s="69"/>
      <c r="F23" s="69"/>
      <c r="G23" s="69"/>
      <c r="H23" s="70"/>
    </row>
    <row r="24" ht="21.75" customHeight="1">
      <c r="A24" t="s" s="14">
        <v>74</v>
      </c>
      <c r="B24" t="s" s="62">
        <v>75</v>
      </c>
      <c r="C24" s="15">
        <v>0</v>
      </c>
      <c r="D24" s="15">
        <v>625000</v>
      </c>
      <c r="E24" s="15">
        <v>0</v>
      </c>
      <c r="F24" s="16">
        <f>C24+D24+E24</f>
        <v>625000</v>
      </c>
      <c r="G24" s="63">
        <f>F24/F29</f>
        <v>0.0561797752808989</v>
      </c>
      <c r="H24" t="s" s="18">
        <v>76</v>
      </c>
    </row>
    <row r="25" ht="15" customHeight="1">
      <c r="A25" t="s" s="19">
        <v>77</v>
      </c>
      <c r="B25" t="s" s="64">
        <v>75</v>
      </c>
      <c r="C25" s="20">
        <v>0</v>
      </c>
      <c r="D25" s="20">
        <v>0</v>
      </c>
      <c r="E25" s="20">
        <v>0</v>
      </c>
      <c r="F25" s="21"/>
      <c r="G25" s="63">
        <f>F25/F29</f>
        <v>0</v>
      </c>
      <c r="H25" t="s" s="23">
        <v>78</v>
      </c>
    </row>
    <row r="26" ht="15" customHeight="1">
      <c r="A26" t="s" s="14">
        <v>79</v>
      </c>
      <c r="B26" t="s" s="62">
        <v>75</v>
      </c>
      <c r="C26" s="15">
        <v>0</v>
      </c>
      <c r="D26" s="15">
        <v>0</v>
      </c>
      <c r="E26" s="15">
        <v>0</v>
      </c>
      <c r="F26" s="16"/>
      <c r="G26" s="63">
        <f>F26/F29</f>
        <v>0</v>
      </c>
      <c r="H26" t="s" s="18">
        <v>80</v>
      </c>
    </row>
    <row r="27" ht="15" customHeight="1">
      <c r="A27" t="s" s="19">
        <v>81</v>
      </c>
      <c r="B27" t="s" s="64">
        <v>75</v>
      </c>
      <c r="C27" s="20">
        <v>0</v>
      </c>
      <c r="D27" s="20">
        <v>0</v>
      </c>
      <c r="E27" s="20">
        <v>0</v>
      </c>
      <c r="F27" s="21">
        <f>C27+D27+E27</f>
        <v>0</v>
      </c>
      <c r="G27" s="63">
        <f>F27/F29</f>
        <v>0</v>
      </c>
      <c r="H27" t="s" s="23">
        <v>82</v>
      </c>
    </row>
    <row r="28" ht="15" customHeight="1">
      <c r="A28" t="s" s="14">
        <v>83</v>
      </c>
      <c r="B28" t="s" s="62">
        <v>75</v>
      </c>
      <c r="C28" s="15">
        <v>0</v>
      </c>
      <c r="D28" s="15">
        <v>0</v>
      </c>
      <c r="E28" s="15">
        <v>0</v>
      </c>
      <c r="F28" s="16"/>
      <c r="G28" s="63">
        <f>F28/F29</f>
        <v>0</v>
      </c>
      <c r="H28" t="s" s="18">
        <v>84</v>
      </c>
    </row>
    <row r="29" ht="18" customHeight="1">
      <c r="A29" t="s" s="24">
        <v>85</v>
      </c>
      <c r="B29" s="71"/>
      <c r="C29" s="25">
        <f>SUM(C17:C28)</f>
        <v>8400000</v>
      </c>
      <c r="D29" s="25">
        <f>SUM(D17:D28)</f>
        <v>625000</v>
      </c>
      <c r="E29" s="25">
        <f>SUM(E17:E28)</f>
        <v>2100000</v>
      </c>
      <c r="F29" s="25">
        <f>SUM(F17:F28)</f>
        <v>11125000</v>
      </c>
      <c r="G29" s="26">
        <v>1</v>
      </c>
      <c r="H29" t="s" s="27">
        <v>86</v>
      </c>
    </row>
    <row r="30" ht="19.5" customHeight="1">
      <c r="A30" t="s" s="72">
        <v>87</v>
      </c>
      <c r="B30" s="73"/>
      <c r="C30" s="73"/>
      <c r="D30" s="73"/>
      <c r="E30" s="73"/>
      <c r="F30" s="73"/>
      <c r="G30" s="73"/>
      <c r="H30" s="74"/>
    </row>
    <row r="31" ht="8" customHeight="1">
      <c r="A31" s="75"/>
      <c r="B31" s="76"/>
      <c r="C31" s="76"/>
      <c r="D31" s="76"/>
      <c r="E31" s="76"/>
      <c r="F31" s="76"/>
      <c r="G31" s="76"/>
      <c r="H31" s="77"/>
    </row>
    <row r="32" ht="18" customHeight="1">
      <c r="A32" t="s" s="31">
        <v>88</v>
      </c>
      <c r="B32" s="32"/>
      <c r="C32" s="32"/>
      <c r="D32" s="32"/>
      <c r="E32" s="32"/>
      <c r="F32" s="32"/>
      <c r="G32" s="32"/>
      <c r="H32" s="33"/>
    </row>
    <row r="33" ht="31.5" customHeight="1">
      <c r="A33" t="s" s="34">
        <v>89</v>
      </c>
      <c r="B33" s="35"/>
      <c r="C33" t="s" s="34">
        <v>90</v>
      </c>
      <c r="D33" t="s" s="34">
        <v>91</v>
      </c>
      <c r="E33" t="s" s="34">
        <v>92</v>
      </c>
      <c r="F33" t="s" s="34">
        <v>93</v>
      </c>
      <c r="G33" s="35"/>
      <c r="H33" s="35"/>
    </row>
    <row r="34" ht="21.75" customHeight="1">
      <c r="A34" t="s" s="36">
        <v>94</v>
      </c>
      <c r="B34" s="78"/>
      <c r="C34" s="38">
        <f>C17</f>
        <v>6720000</v>
      </c>
      <c r="D34" s="39">
        <f>C17/F29</f>
        <v>0.604044943820225</v>
      </c>
      <c r="E34" s="39">
        <f>C17/11151316</f>
        <v>0.602619457649662</v>
      </c>
      <c r="F34" t="s" s="79">
        <v>95</v>
      </c>
      <c r="G34" s="78"/>
      <c r="H34" s="78"/>
    </row>
    <row r="35" ht="21.75" customHeight="1">
      <c r="A35" t="s" s="14">
        <v>96</v>
      </c>
      <c r="B35" s="50"/>
      <c r="C35" s="16">
        <f>C18</f>
        <v>1680000</v>
      </c>
      <c r="D35" s="17">
        <f>C18/F29</f>
        <v>0.151011235955056</v>
      </c>
      <c r="E35" s="17">
        <f>C18/11151316</f>
        <v>0.150654864412416</v>
      </c>
      <c r="F35" t="s" s="18">
        <v>97</v>
      </c>
      <c r="G35" s="50"/>
      <c r="H35" s="50"/>
    </row>
    <row r="36" ht="21.75" customHeight="1">
      <c r="A36" t="s" s="36">
        <v>98</v>
      </c>
      <c r="B36" s="78"/>
      <c r="C36" s="38">
        <f>C17+C18</f>
        <v>8400000</v>
      </c>
      <c r="D36" s="39">
        <f>(C17+C18)/F29</f>
        <v>0.7550561797752809</v>
      </c>
      <c r="E36" s="39">
        <f>(C17+C18)/11151316</f>
        <v>0.753274322062078</v>
      </c>
      <c r="F36" t="s" s="79">
        <v>99</v>
      </c>
      <c r="G36" s="78"/>
      <c r="H36" s="78"/>
    </row>
  </sheetData>
  <mergeCells count="17">
    <mergeCell ref="A1:H1"/>
    <mergeCell ref="A2:H2"/>
    <mergeCell ref="A3:H3"/>
    <mergeCell ref="C5:D5"/>
    <mergeCell ref="C6:D6"/>
    <mergeCell ref="C7:D7"/>
    <mergeCell ref="C8:D8"/>
    <mergeCell ref="C9:D9"/>
    <mergeCell ref="C10:D10"/>
    <mergeCell ref="C11:D11"/>
    <mergeCell ref="C12:D12"/>
    <mergeCell ref="C13:D13"/>
    <mergeCell ref="A16:H16"/>
    <mergeCell ref="A21:H21"/>
    <mergeCell ref="A23:H23"/>
    <mergeCell ref="A30:H30"/>
    <mergeCell ref="A32:H32"/>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25"/>
  <sheetViews>
    <sheetView workbookViewId="0" showGridLines="0" defaultGridColor="1"/>
  </sheetViews>
  <sheetFormatPr defaultColWidth="8.66667" defaultRowHeight="15" customHeight="1" outlineLevelRow="0" outlineLevelCol="0"/>
  <cols>
    <col min="1" max="1" width="36" style="80" customWidth="1"/>
    <col min="2" max="2" width="14" style="80" customWidth="1"/>
    <col min="3" max="3" width="18" style="80" customWidth="1"/>
    <col min="4" max="4" width="46" style="80" customWidth="1"/>
    <col min="5" max="7" width="8.67188" style="80" customWidth="1"/>
    <col min="8" max="16384" width="8.67188" style="80" customWidth="1"/>
  </cols>
  <sheetData>
    <row r="1" ht="27.75" customHeight="1">
      <c r="A1" t="s" s="7">
        <v>101</v>
      </c>
      <c r="B1" s="8"/>
      <c r="C1" s="8"/>
      <c r="D1" s="8"/>
      <c r="E1" s="8"/>
      <c r="F1" s="8"/>
      <c r="G1" s="9"/>
    </row>
    <row r="2" ht="15.75" customHeight="1">
      <c r="A2" t="s" s="45">
        <v>102</v>
      </c>
      <c r="B2" s="46"/>
      <c r="C2" s="46"/>
      <c r="D2" s="46"/>
      <c r="E2" s="46"/>
      <c r="F2" s="46"/>
      <c r="G2" s="47"/>
    </row>
    <row r="3" ht="18" customHeight="1">
      <c r="A3" t="s" s="31">
        <v>103</v>
      </c>
      <c r="B3" s="32"/>
      <c r="C3" s="32"/>
      <c r="D3" s="32"/>
      <c r="E3" s="32"/>
      <c r="F3" s="32"/>
      <c r="G3" s="33"/>
    </row>
    <row r="4" ht="31.5" customHeight="1">
      <c r="A4" t="s" s="34">
        <v>36</v>
      </c>
      <c r="B4" t="s" s="34">
        <v>37</v>
      </c>
      <c r="C4" s="35"/>
      <c r="D4" t="s" s="34">
        <v>38</v>
      </c>
      <c r="E4" s="35"/>
      <c r="F4" s="35"/>
      <c r="G4" s="35"/>
    </row>
    <row r="5" ht="15" customHeight="1">
      <c r="A5" t="s" s="14">
        <v>104</v>
      </c>
      <c r="B5" s="48">
        <v>25000000</v>
      </c>
      <c r="C5" t="s" s="18">
        <v>105</v>
      </c>
      <c r="D5" s="49"/>
      <c r="E5" s="81"/>
      <c r="F5" s="81"/>
      <c r="G5" s="81"/>
    </row>
    <row r="6" ht="15" customHeight="1">
      <c r="A6" t="s" s="19">
        <v>106</v>
      </c>
      <c r="B6" s="51">
        <v>3000000</v>
      </c>
      <c r="C6" t="s" s="23">
        <v>107</v>
      </c>
      <c r="D6" s="52"/>
      <c r="E6" s="53"/>
      <c r="F6" s="53"/>
      <c r="G6" s="53"/>
    </row>
    <row r="7" ht="15" customHeight="1">
      <c r="A7" t="s" s="14">
        <v>43</v>
      </c>
      <c r="B7" s="54">
        <v>28000000</v>
      </c>
      <c r="C7" t="s" s="18">
        <v>108</v>
      </c>
      <c r="D7" s="49"/>
      <c r="E7" s="81"/>
      <c r="F7" s="81"/>
      <c r="G7" s="81"/>
    </row>
    <row r="8" ht="15" customHeight="1">
      <c r="A8" t="s" s="19">
        <v>109</v>
      </c>
      <c r="B8" s="82">
        <v>8000000</v>
      </c>
      <c r="C8" t="s" s="23">
        <v>110</v>
      </c>
      <c r="D8" s="52"/>
      <c r="E8" s="53"/>
      <c r="F8" s="53"/>
      <c r="G8" s="53"/>
    </row>
    <row r="9" ht="15" customHeight="1">
      <c r="A9" t="s" s="14">
        <v>111</v>
      </c>
      <c r="B9" s="54">
        <v>500000</v>
      </c>
      <c r="C9" t="s" s="18">
        <v>112</v>
      </c>
      <c r="D9" s="49"/>
      <c r="E9" s="81"/>
      <c r="F9" s="81"/>
      <c r="G9" s="81"/>
    </row>
    <row r="10" ht="15" customHeight="1">
      <c r="A10" t="s" s="19">
        <v>113</v>
      </c>
      <c r="B10" s="83">
        <v>0.8</v>
      </c>
      <c r="C10" t="s" s="23">
        <v>114</v>
      </c>
      <c r="D10" s="52"/>
      <c r="E10" s="53"/>
      <c r="F10" s="53"/>
      <c r="G10" s="53"/>
    </row>
    <row r="11" ht="15" customHeight="1">
      <c r="A11" t="s" s="14">
        <v>115</v>
      </c>
      <c r="B11" s="16">
        <v>625000</v>
      </c>
      <c r="C11" t="s" s="18">
        <v>116</v>
      </c>
      <c r="D11" s="49"/>
      <c r="E11" s="81"/>
      <c r="F11" s="81"/>
      <c r="G11" s="81"/>
    </row>
    <row r="12" ht="15" customHeight="1">
      <c r="A12" t="s" s="19">
        <v>117</v>
      </c>
      <c r="B12" s="20">
        <v>1200000</v>
      </c>
      <c r="C12" t="s" s="23">
        <v>118</v>
      </c>
      <c r="D12" s="52"/>
      <c r="E12" s="53"/>
      <c r="F12" s="53"/>
      <c r="G12" s="53"/>
    </row>
    <row r="13" ht="15" customHeight="1">
      <c r="A13" t="s" s="14">
        <v>119</v>
      </c>
      <c r="B13" s="16">
        <v>12351316</v>
      </c>
      <c r="C13" t="s" s="18">
        <v>120</v>
      </c>
      <c r="D13" s="49"/>
      <c r="E13" s="81"/>
      <c r="F13" s="81"/>
      <c r="G13" s="81"/>
    </row>
    <row r="14" ht="8" customHeight="1">
      <c r="A14" s="56"/>
      <c r="B14" s="57"/>
      <c r="C14" s="57"/>
      <c r="D14" s="57"/>
      <c r="E14" s="84"/>
      <c r="F14" s="84"/>
      <c r="G14" s="85"/>
    </row>
    <row r="15" ht="31.5" customHeight="1">
      <c r="A15" t="s" s="13">
        <v>89</v>
      </c>
      <c r="B15" t="s" s="13">
        <v>26</v>
      </c>
      <c r="C15" t="s" s="13">
        <v>121</v>
      </c>
      <c r="D15" t="s" s="13">
        <v>13</v>
      </c>
      <c r="E15" s="86"/>
      <c r="F15" s="86"/>
      <c r="G15" s="86"/>
    </row>
    <row r="16" ht="15" customHeight="1">
      <c r="A16" t="s" s="14">
        <v>14</v>
      </c>
      <c r="B16" s="16">
        <v>6400000</v>
      </c>
      <c r="C16" s="17">
        <f>B16/B$25</f>
        <v>0.563811279678938</v>
      </c>
      <c r="D16" t="s" s="18">
        <v>122</v>
      </c>
      <c r="E16" s="49"/>
      <c r="F16" s="49"/>
      <c r="G16" s="49"/>
    </row>
    <row r="17" ht="15" customHeight="1">
      <c r="A17" t="s" s="19">
        <v>16</v>
      </c>
      <c r="B17" s="21">
        <v>1600000</v>
      </c>
      <c r="C17" s="22">
        <f>B17/B$25</f>
        <v>0.140952819919734</v>
      </c>
      <c r="D17" t="s" s="23">
        <v>123</v>
      </c>
      <c r="E17" s="52"/>
      <c r="F17" s="52"/>
      <c r="G17" s="52"/>
    </row>
    <row r="18" ht="15" customHeight="1">
      <c r="A18" t="s" s="14">
        <v>124</v>
      </c>
      <c r="B18" s="16">
        <v>500000</v>
      </c>
      <c r="C18" s="17">
        <f>B18/B$25</f>
        <v>0.044047756224917</v>
      </c>
      <c r="D18" t="s" s="18">
        <v>125</v>
      </c>
      <c r="E18" s="49"/>
      <c r="F18" s="49"/>
      <c r="G18" s="49"/>
    </row>
    <row r="19" ht="15" customHeight="1">
      <c r="A19" t="s" s="19">
        <v>20</v>
      </c>
      <c r="B19" s="21">
        <v>500000</v>
      </c>
      <c r="C19" s="22">
        <f>B19/B$25</f>
        <v>0.044047756224917</v>
      </c>
      <c r="D19" t="s" s="23">
        <v>126</v>
      </c>
      <c r="E19" s="52"/>
      <c r="F19" s="52"/>
      <c r="G19" s="52"/>
    </row>
    <row r="20" ht="15" customHeight="1">
      <c r="A20" t="s" s="14">
        <v>127</v>
      </c>
      <c r="B20" s="16">
        <v>526316</v>
      </c>
      <c r="C20" s="17">
        <f>B20/B$25</f>
        <v>0.0463660777305468</v>
      </c>
      <c r="D20" t="s" s="18">
        <v>128</v>
      </c>
      <c r="E20" s="49"/>
      <c r="F20" s="49"/>
      <c r="G20" s="49"/>
    </row>
    <row r="21" ht="15" customHeight="1">
      <c r="A21" t="s" s="19">
        <v>129</v>
      </c>
      <c r="B21" s="21">
        <v>625000</v>
      </c>
      <c r="C21" s="22">
        <f>B21/B$25</f>
        <v>0.0550596952811463</v>
      </c>
      <c r="D21" t="s" s="23">
        <v>130</v>
      </c>
      <c r="E21" s="52"/>
      <c r="F21" s="52"/>
      <c r="G21" s="52"/>
    </row>
    <row r="22" ht="15" customHeight="1">
      <c r="A22" t="s" s="14">
        <v>131</v>
      </c>
      <c r="B22" s="15">
        <v>1200000</v>
      </c>
      <c r="C22" s="17">
        <f>B22/B$25</f>
        <v>0.105714614939801</v>
      </c>
      <c r="D22" t="s" s="18">
        <v>132</v>
      </c>
      <c r="E22" s="49"/>
      <c r="F22" s="49"/>
      <c r="G22" s="49"/>
    </row>
    <row r="23" ht="15" customHeight="1">
      <c r="A23" t="s" s="19">
        <v>133</v>
      </c>
      <c r="B23" s="21">
        <v>0</v>
      </c>
      <c r="C23" s="22">
        <f>B23/B$25</f>
        <v>0</v>
      </c>
      <c r="D23" t="s" s="23">
        <v>31</v>
      </c>
      <c r="E23" s="52"/>
      <c r="F23" s="52"/>
      <c r="G23" s="52"/>
    </row>
    <row r="24" ht="13.55" customHeight="1">
      <c r="A24" s="56"/>
      <c r="B24" s="57"/>
      <c r="C24" s="57"/>
      <c r="D24" s="57"/>
      <c r="E24" s="84"/>
      <c r="F24" s="84"/>
      <c r="G24" s="85"/>
    </row>
    <row r="25" ht="18" customHeight="1">
      <c r="A25" t="s" s="24">
        <v>134</v>
      </c>
      <c r="B25" s="25">
        <f>SUM(B16:B24)</f>
        <v>11351316</v>
      </c>
      <c r="C25" s="26">
        <v>1</v>
      </c>
      <c r="D25" t="s" s="27">
        <v>135</v>
      </c>
      <c r="E25" s="71"/>
      <c r="F25" s="71"/>
      <c r="G25" s="71"/>
    </row>
  </sheetData>
  <mergeCells count="20">
    <mergeCell ref="A1:G1"/>
    <mergeCell ref="A2:G2"/>
    <mergeCell ref="A3:G3"/>
    <mergeCell ref="C5:D5"/>
    <mergeCell ref="C6:D6"/>
    <mergeCell ref="C7:D7"/>
    <mergeCell ref="C8:D8"/>
    <mergeCell ref="C9:D9"/>
    <mergeCell ref="C10:D10"/>
    <mergeCell ref="C11:D11"/>
    <mergeCell ref="C12:D12"/>
    <mergeCell ref="C13:D13"/>
    <mergeCell ref="D16:G16"/>
    <mergeCell ref="D17:G17"/>
    <mergeCell ref="D18:G18"/>
    <mergeCell ref="D19:G19"/>
    <mergeCell ref="D20:G20"/>
    <mergeCell ref="D21:G21"/>
    <mergeCell ref="D22:G22"/>
    <mergeCell ref="D23:G23"/>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H29"/>
  <sheetViews>
    <sheetView workbookViewId="0" showGridLines="0" defaultGridColor="1"/>
  </sheetViews>
  <sheetFormatPr defaultColWidth="8.66667" defaultRowHeight="15" customHeight="1" outlineLevelRow="0" outlineLevelCol="0"/>
  <cols>
    <col min="1" max="1" width="36" style="87" customWidth="1"/>
    <col min="2" max="8" width="18" style="87" customWidth="1"/>
    <col min="9" max="16384" width="8.67188" style="87" customWidth="1"/>
  </cols>
  <sheetData>
    <row r="1" ht="27.75" customHeight="1">
      <c r="A1" t="s" s="7">
        <v>137</v>
      </c>
      <c r="B1" s="8"/>
      <c r="C1" s="8"/>
      <c r="D1" s="8"/>
      <c r="E1" s="8"/>
      <c r="F1" s="8"/>
      <c r="G1" s="8"/>
      <c r="H1" s="9"/>
    </row>
    <row r="2" ht="15.75" customHeight="1">
      <c r="A2" t="s" s="45">
        <v>138</v>
      </c>
      <c r="B2" s="46"/>
      <c r="C2" s="46"/>
      <c r="D2" s="46"/>
      <c r="E2" s="46"/>
      <c r="F2" s="46"/>
      <c r="G2" s="46"/>
      <c r="H2" s="47"/>
    </row>
    <row r="3" ht="18" customHeight="1">
      <c r="A3" t="s" s="31">
        <v>139</v>
      </c>
      <c r="B3" s="32"/>
      <c r="C3" s="32"/>
      <c r="D3" s="32"/>
      <c r="E3" s="32"/>
      <c r="F3" s="32"/>
      <c r="G3" s="32"/>
      <c r="H3" s="33"/>
    </row>
    <row r="4" ht="31.5" customHeight="1">
      <c r="A4" t="s" s="34">
        <v>140</v>
      </c>
      <c r="B4" t="s" s="34">
        <v>141</v>
      </c>
      <c r="C4" t="s" s="34">
        <v>142</v>
      </c>
      <c r="D4" t="s" s="34">
        <v>143</v>
      </c>
      <c r="E4" s="35"/>
      <c r="F4" t="s" s="34">
        <v>13</v>
      </c>
      <c r="G4" s="35"/>
      <c r="H4" s="35"/>
    </row>
    <row r="5" ht="15" customHeight="1">
      <c r="A5" t="s" s="14">
        <v>144</v>
      </c>
      <c r="B5" s="48">
        <v>50000000</v>
      </c>
      <c r="C5" s="48">
        <v>100000000</v>
      </c>
      <c r="D5" s="48">
        <v>200000000</v>
      </c>
      <c r="E5" s="50"/>
      <c r="F5" t="s" s="18">
        <v>145</v>
      </c>
      <c r="G5" s="49"/>
      <c r="H5" s="88"/>
    </row>
    <row r="6" ht="15" customHeight="1">
      <c r="A6" t="s" s="19">
        <v>146</v>
      </c>
      <c r="B6" s="89">
        <v>0.2</v>
      </c>
      <c r="C6" s="89">
        <v>0.2</v>
      </c>
      <c r="D6" s="89">
        <v>0.2</v>
      </c>
      <c r="E6" s="53"/>
      <c r="F6" t="s" s="23">
        <v>147</v>
      </c>
      <c r="G6" s="52"/>
      <c r="H6" s="90"/>
    </row>
    <row r="7" ht="15" customHeight="1">
      <c r="A7" t="s" s="14">
        <v>148</v>
      </c>
      <c r="B7" s="17">
        <v>0</v>
      </c>
      <c r="C7" s="17">
        <v>0</v>
      </c>
      <c r="D7" s="17">
        <v>0</v>
      </c>
      <c r="E7" s="50"/>
      <c r="F7" t="s" s="18">
        <v>149</v>
      </c>
      <c r="G7" s="49"/>
      <c r="H7" s="88"/>
    </row>
    <row r="8" ht="15" customHeight="1">
      <c r="A8" t="s" s="19">
        <v>150</v>
      </c>
      <c r="B8" s="22">
        <v>0.8</v>
      </c>
      <c r="C8" s="22">
        <v>0.8</v>
      </c>
      <c r="D8" s="22">
        <v>0.8</v>
      </c>
      <c r="E8" s="53"/>
      <c r="F8" t="s" s="23">
        <v>151</v>
      </c>
      <c r="G8" s="52"/>
      <c r="H8" s="90"/>
    </row>
    <row r="9" ht="8" customHeight="1">
      <c r="A9" s="56"/>
      <c r="B9" s="57"/>
      <c r="C9" s="57"/>
      <c r="D9" s="57"/>
      <c r="E9" s="57"/>
      <c r="F9" s="57"/>
      <c r="G9" s="57"/>
      <c r="H9" s="58"/>
    </row>
    <row r="10" ht="31.5" customHeight="1">
      <c r="A10" t="s" s="13">
        <v>89</v>
      </c>
      <c r="B10" t="s" s="13">
        <v>152</v>
      </c>
      <c r="C10" t="s" s="13">
        <v>153</v>
      </c>
      <c r="D10" t="s" s="13">
        <v>154</v>
      </c>
      <c r="E10" t="s" s="13">
        <v>155</v>
      </c>
      <c r="F10" t="s" s="13">
        <v>156</v>
      </c>
      <c r="G10" t="s" s="13">
        <v>157</v>
      </c>
      <c r="H10" t="s" s="13">
        <v>158</v>
      </c>
    </row>
    <row r="11" ht="15" customHeight="1">
      <c r="A11" t="s" s="91">
        <v>14</v>
      </c>
      <c r="B11" s="92">
        <v>0.5183</v>
      </c>
      <c r="C11" s="93">
        <f>B11*B5</f>
        <v>25915000</v>
      </c>
      <c r="D11" s="93">
        <f>B11*C5</f>
        <v>51830000</v>
      </c>
      <c r="E11" s="93">
        <f>B11*D5</f>
        <v>103660000</v>
      </c>
      <c r="F11" s="94">
        <f>C11*D8</f>
        <v>20732000</v>
      </c>
      <c r="G11" s="94">
        <f>D11*D8</f>
        <v>41464000</v>
      </c>
      <c r="H11" s="94">
        <f>E11*D8</f>
        <v>82928000</v>
      </c>
    </row>
    <row r="12" ht="15" customHeight="1">
      <c r="A12" t="s" s="19">
        <v>159</v>
      </c>
      <c r="B12" s="89">
        <v>0.1296</v>
      </c>
      <c r="C12" s="95">
        <f>B12*B5</f>
        <v>6480000</v>
      </c>
      <c r="D12" s="95">
        <f>B12*C5</f>
        <v>12960000</v>
      </c>
      <c r="E12" s="95">
        <f>B12*D5</f>
        <v>25920000</v>
      </c>
      <c r="F12" t="s" s="64">
        <v>31</v>
      </c>
      <c r="G12" t="s" s="64">
        <v>31</v>
      </c>
      <c r="H12" t="s" s="64">
        <v>31</v>
      </c>
    </row>
    <row r="13" ht="15" customHeight="1">
      <c r="A13" t="s" s="14">
        <v>18</v>
      </c>
      <c r="B13" s="55">
        <v>0.0405</v>
      </c>
      <c r="C13" s="96">
        <f>B13*B5</f>
        <v>2025000</v>
      </c>
      <c r="D13" s="96">
        <f>B13*C5</f>
        <v>4050000</v>
      </c>
      <c r="E13" s="96">
        <f>B13*D5</f>
        <v>8100000</v>
      </c>
      <c r="F13" t="s" s="62">
        <v>31</v>
      </c>
      <c r="G13" t="s" s="62">
        <v>31</v>
      </c>
      <c r="H13" t="s" s="62">
        <v>31</v>
      </c>
    </row>
    <row r="14" ht="15" customHeight="1">
      <c r="A14" t="s" s="19">
        <v>20</v>
      </c>
      <c r="B14" s="89">
        <v>0.0405</v>
      </c>
      <c r="C14" s="95">
        <f>B14*B5</f>
        <v>2025000</v>
      </c>
      <c r="D14" s="95">
        <f>B14*C5</f>
        <v>4050000</v>
      </c>
      <c r="E14" s="95">
        <f>B14*D5</f>
        <v>8100000</v>
      </c>
      <c r="F14" t="s" s="64">
        <v>31</v>
      </c>
      <c r="G14" t="s" s="64">
        <v>31</v>
      </c>
      <c r="H14" t="s" s="64">
        <v>31</v>
      </c>
    </row>
    <row r="15" ht="15" customHeight="1">
      <c r="A15" t="s" s="14">
        <v>70</v>
      </c>
      <c r="B15" s="55">
        <v>0.0426</v>
      </c>
      <c r="C15" s="96">
        <f>B15*B5</f>
        <v>2130000</v>
      </c>
      <c r="D15" s="96">
        <f>B15*C5</f>
        <v>4260000</v>
      </c>
      <c r="E15" s="96">
        <f>B15*D5</f>
        <v>8520000</v>
      </c>
      <c r="F15" t="s" s="62">
        <v>31</v>
      </c>
      <c r="G15" t="s" s="62">
        <v>31</v>
      </c>
      <c r="H15" t="s" s="62">
        <v>31</v>
      </c>
    </row>
    <row r="16" ht="15" customHeight="1">
      <c r="A16" t="s" s="19">
        <v>160</v>
      </c>
      <c r="B16" s="89">
        <v>0.0506</v>
      </c>
      <c r="C16" s="95">
        <f>B16*B5</f>
        <v>2530000</v>
      </c>
      <c r="D16" s="95">
        <f>B16*C5</f>
        <v>5060000</v>
      </c>
      <c r="E16" s="95">
        <f>B16*D5</f>
        <v>10120000</v>
      </c>
      <c r="F16" t="s" s="64">
        <v>31</v>
      </c>
      <c r="G16" t="s" s="64">
        <v>31</v>
      </c>
      <c r="H16" t="s" s="64">
        <v>31</v>
      </c>
    </row>
    <row r="17" ht="15" customHeight="1">
      <c r="A17" t="s" s="14">
        <v>161</v>
      </c>
      <c r="B17" s="55">
        <v>0.09719999999999999</v>
      </c>
      <c r="C17" s="96">
        <f>B17*B5</f>
        <v>4860000</v>
      </c>
      <c r="D17" s="96">
        <f>B17*C5</f>
        <v>9720000</v>
      </c>
      <c r="E17" s="96">
        <f>B17*D5</f>
        <v>19440000</v>
      </c>
      <c r="F17" t="s" s="62">
        <v>31</v>
      </c>
      <c r="G17" t="s" s="62">
        <v>31</v>
      </c>
      <c r="H17" t="s" s="62">
        <v>31</v>
      </c>
    </row>
    <row r="18" ht="15" customHeight="1">
      <c r="A18" t="s" s="19">
        <v>162</v>
      </c>
      <c r="B18" s="89">
        <v>0.08069999999999999</v>
      </c>
      <c r="C18" s="95">
        <f>B18*B5</f>
        <v>4035000</v>
      </c>
      <c r="D18" s="95">
        <f>B18*C5</f>
        <v>8070000</v>
      </c>
      <c r="E18" s="95">
        <f>B18*D5</f>
        <v>16140000</v>
      </c>
      <c r="F18" t="s" s="64">
        <v>31</v>
      </c>
      <c r="G18" t="s" s="64">
        <v>31</v>
      </c>
      <c r="H18" t="s" s="64">
        <v>31</v>
      </c>
    </row>
    <row r="19" ht="13.55" customHeight="1">
      <c r="A19" s="56"/>
      <c r="B19" s="57"/>
      <c r="C19" s="57"/>
      <c r="D19" s="57"/>
      <c r="E19" s="57"/>
      <c r="F19" s="57"/>
      <c r="G19" s="57"/>
      <c r="H19" s="58"/>
    </row>
    <row r="20" ht="18" customHeight="1">
      <c r="A20" t="s" s="24">
        <v>134</v>
      </c>
      <c r="B20" t="s" s="27">
        <v>163</v>
      </c>
      <c r="C20" s="97">
        <f>SUM(C11:C19)</f>
        <v>50000000</v>
      </c>
      <c r="D20" s="97">
        <f>SUM(D11:D19)</f>
        <v>100000000</v>
      </c>
      <c r="E20" s="97">
        <f>SUM(E11:E19)</f>
        <v>200000000</v>
      </c>
      <c r="F20" s="71"/>
      <c r="G20" s="71"/>
      <c r="H20" s="71"/>
    </row>
    <row r="21" ht="8" customHeight="1">
      <c r="A21" s="28"/>
      <c r="B21" s="29"/>
      <c r="C21" s="29"/>
      <c r="D21" s="29"/>
      <c r="E21" s="29"/>
      <c r="F21" s="29"/>
      <c r="G21" s="29"/>
      <c r="H21" s="30"/>
    </row>
    <row r="22" ht="18" customHeight="1">
      <c r="A22" t="s" s="31">
        <v>164</v>
      </c>
      <c r="B22" s="32"/>
      <c r="C22" s="32"/>
      <c r="D22" s="32"/>
      <c r="E22" s="32"/>
      <c r="F22" s="32"/>
      <c r="G22" s="32"/>
      <c r="H22" s="33"/>
    </row>
    <row r="23" ht="31.5" customHeight="1">
      <c r="A23" t="s" s="34">
        <v>165</v>
      </c>
      <c r="B23" t="s" s="34">
        <v>166</v>
      </c>
      <c r="C23" t="s" s="34">
        <v>167</v>
      </c>
      <c r="D23" t="s" s="34">
        <v>168</v>
      </c>
      <c r="E23" s="35"/>
      <c r="F23" s="35"/>
      <c r="G23" s="35"/>
      <c r="H23" s="35"/>
    </row>
    <row r="24" ht="15" customHeight="1">
      <c r="A24" t="s" s="14">
        <v>169</v>
      </c>
      <c r="B24" s="54">
        <f>C11</f>
        <v>25915000</v>
      </c>
      <c r="C24" s="54">
        <f>D11</f>
        <v>51830000</v>
      </c>
      <c r="D24" s="54">
        <f>E11</f>
        <v>103660000</v>
      </c>
      <c r="E24" s="50"/>
      <c r="F24" s="50"/>
      <c r="G24" s="50"/>
      <c r="H24" s="50"/>
    </row>
    <row r="25" ht="15" customHeight="1">
      <c r="A25" t="s" s="98">
        <v>170</v>
      </c>
      <c r="B25" s="99">
        <f>C11*0.8</f>
        <v>20732000</v>
      </c>
      <c r="C25" s="99">
        <f>D11*0.8</f>
        <v>41464000</v>
      </c>
      <c r="D25" s="99">
        <f>E11*0.8</f>
        <v>82928000</v>
      </c>
      <c r="E25" s="100"/>
      <c r="F25" s="100"/>
      <c r="G25" s="100"/>
      <c r="H25" s="100"/>
    </row>
    <row r="26" ht="15" customHeight="1">
      <c r="A26" t="s" s="14">
        <v>171</v>
      </c>
      <c r="B26" s="54">
        <v>10000000</v>
      </c>
      <c r="C26" s="54">
        <v>10000000</v>
      </c>
      <c r="D26" s="54">
        <v>10000000</v>
      </c>
      <c r="E26" s="50"/>
      <c r="F26" s="50"/>
      <c r="G26" s="50"/>
      <c r="H26" s="50"/>
    </row>
    <row r="27" ht="15" customHeight="1">
      <c r="A27" t="s" s="19">
        <v>172</v>
      </c>
      <c r="B27" t="s" s="101">
        <f>IF(C26&gt;=C27,"✅  YES","⚠  NO")</f>
        <v>173</v>
      </c>
      <c r="C27" t="s" s="101">
        <f>IF(D26&gt;=D27,"✅  YES","⚠  NO")</f>
        <v>173</v>
      </c>
      <c r="D27" t="s" s="101">
        <f>IF(E26&gt;=E27,"✅  YES","⚠  NO")</f>
        <v>174</v>
      </c>
      <c r="E27" s="53"/>
      <c r="F27" s="53"/>
      <c r="G27" s="53"/>
      <c r="H27" s="53"/>
    </row>
    <row r="28" ht="15" customHeight="1">
      <c r="A28" t="s" s="14">
        <v>175</v>
      </c>
      <c r="B28" t="s" s="42">
        <v>176</v>
      </c>
      <c r="C28" t="s" s="42">
        <v>176</v>
      </c>
      <c r="D28" t="s" s="42">
        <v>177</v>
      </c>
      <c r="E28" s="50"/>
      <c r="F28" s="50"/>
      <c r="G28" s="50"/>
      <c r="H28" s="50"/>
    </row>
    <row r="29" ht="24" customHeight="1">
      <c r="A29" t="s" s="102">
        <v>178</v>
      </c>
      <c r="B29" s="103"/>
      <c r="C29" s="103"/>
      <c r="D29" s="103"/>
      <c r="E29" s="103"/>
      <c r="F29" s="103"/>
      <c r="G29" s="103"/>
      <c r="H29" s="104"/>
    </row>
  </sheetData>
  <mergeCells count="9">
    <mergeCell ref="A1:H1"/>
    <mergeCell ref="A2:H2"/>
    <mergeCell ref="A3:H3"/>
    <mergeCell ref="F5:H5"/>
    <mergeCell ref="F6:H6"/>
    <mergeCell ref="F7:H7"/>
    <mergeCell ref="F8:H8"/>
    <mergeCell ref="A22:H22"/>
    <mergeCell ref="A29:H29"/>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L58"/>
  <sheetViews>
    <sheetView workbookViewId="0" showGridLines="0" defaultGridColor="1"/>
  </sheetViews>
  <sheetFormatPr defaultColWidth="8.66667" defaultRowHeight="15" customHeight="1" outlineLevelRow="0" outlineLevelCol="0"/>
  <cols>
    <col min="1" max="1" width="30" style="105" customWidth="1"/>
    <col min="2" max="3" width="16" style="105" customWidth="1"/>
    <col min="4" max="4" width="20" style="105" customWidth="1"/>
    <col min="5" max="5" width="17" style="105" customWidth="1"/>
    <col min="6" max="6" width="14" style="105" customWidth="1"/>
    <col min="7" max="7" width="10" style="105" customWidth="1"/>
    <col min="8" max="8" width="11" style="105" customWidth="1"/>
    <col min="9" max="9" width="13" style="105" customWidth="1"/>
    <col min="10" max="10" width="40" style="105" customWidth="1"/>
    <col min="11" max="11" width="14" style="105" customWidth="1"/>
    <col min="12" max="12" width="50" style="105" customWidth="1"/>
    <col min="13" max="16384" width="8.67188" style="105" customWidth="1"/>
  </cols>
  <sheetData>
    <row r="1" ht="27.75" customHeight="1">
      <c r="A1" t="s" s="7">
        <v>180</v>
      </c>
      <c r="B1" s="8"/>
      <c r="C1" s="8"/>
      <c r="D1" s="8"/>
      <c r="E1" s="8"/>
      <c r="F1" s="8"/>
      <c r="G1" s="8"/>
      <c r="H1" s="8"/>
      <c r="I1" s="8"/>
      <c r="J1" s="8"/>
      <c r="K1" s="8"/>
      <c r="L1" s="9"/>
    </row>
    <row r="2" ht="15.75" customHeight="1">
      <c r="A2" t="s" s="10">
        <v>181</v>
      </c>
      <c r="B2" s="11"/>
      <c r="C2" s="11"/>
      <c r="D2" s="11"/>
      <c r="E2" s="11"/>
      <c r="F2" s="11"/>
      <c r="G2" s="11"/>
      <c r="H2" s="11"/>
      <c r="I2" s="11"/>
      <c r="J2" s="11"/>
      <c r="K2" s="11"/>
      <c r="L2" s="12"/>
    </row>
    <row r="3" ht="31.5" customHeight="1">
      <c r="A3" t="s" s="13">
        <v>182</v>
      </c>
      <c r="B3" t="s" s="13">
        <v>57</v>
      </c>
      <c r="C3" t="s" s="13">
        <v>183</v>
      </c>
      <c r="D3" t="s" s="13">
        <v>184</v>
      </c>
      <c r="E3" t="s" s="13">
        <v>185</v>
      </c>
      <c r="F3" t="s" s="13">
        <v>186</v>
      </c>
      <c r="G3" t="s" s="13">
        <v>187</v>
      </c>
      <c r="H3" t="s" s="13">
        <v>188</v>
      </c>
      <c r="I3" t="s" s="13">
        <v>189</v>
      </c>
      <c r="J3" t="s" s="13">
        <v>190</v>
      </c>
      <c r="K3" t="s" s="13">
        <v>191</v>
      </c>
      <c r="L3" t="s" s="13">
        <v>13</v>
      </c>
    </row>
    <row r="4" ht="15.75" customHeight="1">
      <c r="A4" t="s" s="106">
        <v>192</v>
      </c>
      <c r="B4" s="107"/>
      <c r="C4" s="107"/>
      <c r="D4" s="107"/>
      <c r="E4" s="107"/>
      <c r="F4" s="107"/>
      <c r="G4" s="107"/>
      <c r="H4" s="107"/>
      <c r="I4" s="107"/>
      <c r="J4" s="107"/>
      <c r="K4" s="107"/>
      <c r="L4" s="108"/>
    </row>
    <row r="5" ht="32.25" customHeight="1">
      <c r="A5" t="s" s="36">
        <v>193</v>
      </c>
      <c r="B5" t="s" s="109">
        <v>71</v>
      </c>
      <c r="C5" t="s" s="109">
        <v>194</v>
      </c>
      <c r="D5" t="s" s="36">
        <v>195</v>
      </c>
      <c r="E5" t="s" s="109">
        <v>196</v>
      </c>
      <c r="F5" t="s" s="109">
        <v>197</v>
      </c>
      <c r="G5" t="s" s="109">
        <v>198</v>
      </c>
      <c r="H5" s="110">
        <v>0.65</v>
      </c>
      <c r="I5" s="111">
        <v>200000</v>
      </c>
      <c r="J5" t="s" s="36">
        <v>199</v>
      </c>
      <c r="K5" t="s" s="109">
        <v>200</v>
      </c>
      <c r="L5" t="s" s="36">
        <v>201</v>
      </c>
    </row>
    <row r="6" ht="32.25" customHeight="1">
      <c r="A6" t="s" s="36">
        <v>202</v>
      </c>
      <c r="B6" t="s" s="109">
        <v>203</v>
      </c>
      <c r="C6" t="s" s="109">
        <v>204</v>
      </c>
      <c r="D6" t="s" s="36">
        <v>205</v>
      </c>
      <c r="E6" t="s" s="109">
        <v>206</v>
      </c>
      <c r="F6" t="s" s="109">
        <v>75</v>
      </c>
      <c r="G6" t="s" s="109">
        <v>198</v>
      </c>
      <c r="H6" s="110">
        <v>0.35</v>
      </c>
      <c r="I6" s="111">
        <v>100000</v>
      </c>
      <c r="J6" t="s" s="36">
        <v>207</v>
      </c>
      <c r="K6" t="s" s="109">
        <v>208</v>
      </c>
      <c r="L6" t="s" s="36">
        <v>209</v>
      </c>
    </row>
    <row r="7" ht="21.75" customHeight="1">
      <c r="A7" t="s" s="36">
        <v>210</v>
      </c>
      <c r="B7" t="s" s="109">
        <v>211</v>
      </c>
      <c r="C7" t="s" s="109">
        <v>212</v>
      </c>
      <c r="D7" t="s" s="36">
        <v>213</v>
      </c>
      <c r="E7" t="s" s="109">
        <v>214</v>
      </c>
      <c r="F7" t="s" s="109">
        <v>75</v>
      </c>
      <c r="G7" t="s" s="109">
        <v>198</v>
      </c>
      <c r="H7" s="110">
        <v>0.2</v>
      </c>
      <c r="I7" s="111">
        <v>100000</v>
      </c>
      <c r="J7" t="s" s="36">
        <v>215</v>
      </c>
      <c r="K7" t="s" s="109">
        <v>216</v>
      </c>
      <c r="L7" t="s" s="36">
        <v>217</v>
      </c>
    </row>
    <row r="8" ht="21.75" customHeight="1">
      <c r="A8" t="s" s="36">
        <v>218</v>
      </c>
      <c r="B8" t="s" s="109">
        <v>219</v>
      </c>
      <c r="C8" t="s" s="109">
        <v>212</v>
      </c>
      <c r="D8" t="s" s="36">
        <v>220</v>
      </c>
      <c r="E8" t="s" s="109">
        <v>221</v>
      </c>
      <c r="F8" t="s" s="109">
        <v>221</v>
      </c>
      <c r="G8" t="s" s="109">
        <v>221</v>
      </c>
      <c r="H8" s="110">
        <v>0.1</v>
      </c>
      <c r="I8" s="111">
        <v>0</v>
      </c>
      <c r="J8" t="s" s="36">
        <v>222</v>
      </c>
      <c r="K8" t="s" s="109">
        <v>223</v>
      </c>
      <c r="L8" t="s" s="36">
        <v>224</v>
      </c>
    </row>
    <row r="9" ht="15.75" customHeight="1">
      <c r="A9" t="s" s="59">
        <v>225</v>
      </c>
      <c r="B9" s="60"/>
      <c r="C9" s="60"/>
      <c r="D9" s="60"/>
      <c r="E9" s="60"/>
      <c r="F9" s="60"/>
      <c r="G9" s="60"/>
      <c r="H9" s="60"/>
      <c r="I9" s="60"/>
      <c r="J9" s="60"/>
      <c r="K9" s="60"/>
      <c r="L9" s="61"/>
    </row>
    <row r="10" ht="15" customHeight="1">
      <c r="A10" t="s" s="14">
        <v>226</v>
      </c>
      <c r="B10" t="s" s="112">
        <v>227</v>
      </c>
      <c r="C10" t="s" s="112">
        <v>228</v>
      </c>
      <c r="D10" t="s" s="14">
        <v>229</v>
      </c>
      <c r="E10" t="s" s="112">
        <v>230</v>
      </c>
      <c r="F10" t="s" s="112">
        <v>231</v>
      </c>
      <c r="G10" t="s" s="112">
        <v>31</v>
      </c>
      <c r="H10" s="113">
        <v>0.05</v>
      </c>
      <c r="I10" s="114">
        <v>0</v>
      </c>
      <c r="J10" t="s" s="14">
        <v>232</v>
      </c>
      <c r="K10" t="s" s="112">
        <v>31</v>
      </c>
      <c r="L10" t="s" s="14">
        <v>233</v>
      </c>
    </row>
    <row r="11" ht="15" customHeight="1">
      <c r="A11" t="s" s="19">
        <v>234</v>
      </c>
      <c r="B11" t="s" s="115">
        <v>235</v>
      </c>
      <c r="C11" s="116"/>
      <c r="D11" t="s" s="19">
        <v>229</v>
      </c>
      <c r="E11" t="s" s="115">
        <v>236</v>
      </c>
      <c r="F11" t="s" s="115">
        <v>237</v>
      </c>
      <c r="G11" t="s" s="115">
        <v>31</v>
      </c>
      <c r="H11" s="117">
        <v>0.05</v>
      </c>
      <c r="I11" s="118">
        <v>0</v>
      </c>
      <c r="J11" t="s" s="19">
        <v>238</v>
      </c>
      <c r="K11" t="s" s="115">
        <v>31</v>
      </c>
      <c r="L11" t="s" s="19">
        <v>239</v>
      </c>
    </row>
    <row r="12" ht="15" customHeight="1">
      <c r="A12" t="s" s="14">
        <v>240</v>
      </c>
      <c r="B12" t="s" s="112">
        <v>227</v>
      </c>
      <c r="C12" t="s" s="112">
        <v>241</v>
      </c>
      <c r="D12" t="s" s="14">
        <v>229</v>
      </c>
      <c r="E12" t="s" s="112">
        <v>231</v>
      </c>
      <c r="F12" t="s" s="112">
        <v>231</v>
      </c>
      <c r="G12" t="s" s="112">
        <v>31</v>
      </c>
      <c r="H12" s="113">
        <v>0.05</v>
      </c>
      <c r="I12" s="114">
        <v>0</v>
      </c>
      <c r="J12" t="s" s="14">
        <v>242</v>
      </c>
      <c r="K12" t="s" s="112">
        <v>31</v>
      </c>
      <c r="L12" t="s" s="14">
        <v>243</v>
      </c>
    </row>
    <row r="13" ht="15" customHeight="1">
      <c r="A13" t="s" s="19">
        <v>244</v>
      </c>
      <c r="B13" t="s" s="115">
        <v>227</v>
      </c>
      <c r="C13" t="s" s="115">
        <v>228</v>
      </c>
      <c r="D13" t="s" s="19">
        <v>229</v>
      </c>
      <c r="E13" t="s" s="115">
        <v>231</v>
      </c>
      <c r="F13" t="s" s="115">
        <v>231</v>
      </c>
      <c r="G13" t="s" s="115">
        <v>31</v>
      </c>
      <c r="H13" s="117">
        <v>0.05</v>
      </c>
      <c r="I13" s="118">
        <v>0</v>
      </c>
      <c r="J13" t="s" s="19">
        <v>245</v>
      </c>
      <c r="K13" t="s" s="115">
        <v>31</v>
      </c>
      <c r="L13" t="s" s="19">
        <v>246</v>
      </c>
    </row>
    <row r="14" ht="15" customHeight="1">
      <c r="A14" t="s" s="14">
        <v>247</v>
      </c>
      <c r="B14" t="s" s="112">
        <v>227</v>
      </c>
      <c r="C14" t="s" s="112">
        <v>228</v>
      </c>
      <c r="D14" t="s" s="14">
        <v>229</v>
      </c>
      <c r="E14" t="s" s="112">
        <v>231</v>
      </c>
      <c r="F14" t="s" s="112">
        <v>231</v>
      </c>
      <c r="G14" t="s" s="112">
        <v>31</v>
      </c>
      <c r="H14" s="113">
        <v>0.05</v>
      </c>
      <c r="I14" s="114">
        <v>0</v>
      </c>
      <c r="J14" t="s" s="14">
        <v>248</v>
      </c>
      <c r="K14" t="s" s="112">
        <v>31</v>
      </c>
      <c r="L14" s="41"/>
    </row>
    <row r="15" ht="15" customHeight="1">
      <c r="A15" t="s" s="19">
        <v>249</v>
      </c>
      <c r="B15" t="s" s="115">
        <v>227</v>
      </c>
      <c r="C15" t="s" s="115">
        <v>250</v>
      </c>
      <c r="D15" t="s" s="19">
        <v>229</v>
      </c>
      <c r="E15" t="s" s="115">
        <v>231</v>
      </c>
      <c r="F15" t="s" s="115">
        <v>231</v>
      </c>
      <c r="G15" t="s" s="115">
        <v>31</v>
      </c>
      <c r="H15" s="117">
        <v>0.05</v>
      </c>
      <c r="I15" s="118">
        <v>0</v>
      </c>
      <c r="J15" t="s" s="19">
        <v>251</v>
      </c>
      <c r="K15" t="s" s="115">
        <v>31</v>
      </c>
      <c r="L15" s="119"/>
    </row>
    <row r="16" ht="15" customHeight="1">
      <c r="A16" t="s" s="14">
        <v>252</v>
      </c>
      <c r="B16" t="s" s="112">
        <v>227</v>
      </c>
      <c r="C16" t="s" s="112">
        <v>228</v>
      </c>
      <c r="D16" t="s" s="14">
        <v>229</v>
      </c>
      <c r="E16" t="s" s="112">
        <v>231</v>
      </c>
      <c r="F16" t="s" s="112">
        <v>231</v>
      </c>
      <c r="G16" t="s" s="112">
        <v>31</v>
      </c>
      <c r="H16" s="113">
        <v>0.05</v>
      </c>
      <c r="I16" s="114">
        <v>0</v>
      </c>
      <c r="J16" t="s" s="14">
        <v>253</v>
      </c>
      <c r="K16" t="s" s="112">
        <v>31</v>
      </c>
      <c r="L16" s="41"/>
    </row>
    <row r="17" ht="15" customHeight="1">
      <c r="A17" t="s" s="19">
        <v>254</v>
      </c>
      <c r="B17" t="s" s="115">
        <v>227</v>
      </c>
      <c r="C17" t="s" s="115">
        <v>228</v>
      </c>
      <c r="D17" t="s" s="19">
        <v>229</v>
      </c>
      <c r="E17" t="s" s="115">
        <v>231</v>
      </c>
      <c r="F17" t="s" s="115">
        <v>231</v>
      </c>
      <c r="G17" t="s" s="115">
        <v>31</v>
      </c>
      <c r="H17" s="117">
        <v>0.05</v>
      </c>
      <c r="I17" s="118">
        <v>0</v>
      </c>
      <c r="J17" t="s" s="19">
        <v>255</v>
      </c>
      <c r="K17" t="s" s="115">
        <v>31</v>
      </c>
      <c r="L17" s="119"/>
    </row>
    <row r="18" ht="15" customHeight="1">
      <c r="A18" t="s" s="14">
        <v>256</v>
      </c>
      <c r="B18" t="s" s="112">
        <v>257</v>
      </c>
      <c r="C18" t="s" s="112">
        <v>258</v>
      </c>
      <c r="D18" t="s" s="14">
        <v>229</v>
      </c>
      <c r="E18" t="s" s="112">
        <v>259</v>
      </c>
      <c r="F18" t="s" s="112">
        <v>75</v>
      </c>
      <c r="G18" t="s" s="112">
        <v>198</v>
      </c>
      <c r="H18" s="113">
        <v>0.05</v>
      </c>
      <c r="I18" s="114">
        <v>0</v>
      </c>
      <c r="J18" t="s" s="14">
        <v>260</v>
      </c>
      <c r="K18" t="s" s="112">
        <v>31</v>
      </c>
      <c r="L18" s="41"/>
    </row>
    <row r="19" ht="15" customHeight="1">
      <c r="A19" t="s" s="19">
        <v>261</v>
      </c>
      <c r="B19" t="s" s="115">
        <v>262</v>
      </c>
      <c r="C19" t="s" s="115">
        <v>228</v>
      </c>
      <c r="D19" t="s" s="19">
        <v>229</v>
      </c>
      <c r="E19" t="s" s="115">
        <v>237</v>
      </c>
      <c r="F19" t="s" s="115">
        <v>237</v>
      </c>
      <c r="G19" t="s" s="115">
        <v>31</v>
      </c>
      <c r="H19" s="117">
        <v>0.05</v>
      </c>
      <c r="I19" s="118">
        <v>0</v>
      </c>
      <c r="J19" t="s" s="19">
        <v>263</v>
      </c>
      <c r="K19" t="s" s="115">
        <v>31</v>
      </c>
      <c r="L19" s="119"/>
    </row>
    <row r="20" ht="15" customHeight="1">
      <c r="A20" t="s" s="14">
        <v>264</v>
      </c>
      <c r="B20" t="s" s="112">
        <v>257</v>
      </c>
      <c r="C20" t="s" s="112">
        <v>228</v>
      </c>
      <c r="D20" t="s" s="14">
        <v>229</v>
      </c>
      <c r="E20" t="s" s="112">
        <v>265</v>
      </c>
      <c r="F20" t="s" s="112">
        <v>75</v>
      </c>
      <c r="G20" t="s" s="112">
        <v>198</v>
      </c>
      <c r="H20" s="113">
        <v>0.08</v>
      </c>
      <c r="I20" s="114">
        <v>0</v>
      </c>
      <c r="J20" t="s" s="14">
        <v>266</v>
      </c>
      <c r="K20" t="s" s="112">
        <v>31</v>
      </c>
      <c r="L20" t="s" s="14">
        <v>267</v>
      </c>
    </row>
    <row r="21" ht="15" customHeight="1">
      <c r="A21" t="s" s="19">
        <v>268</v>
      </c>
      <c r="B21" t="s" s="115">
        <v>269</v>
      </c>
      <c r="C21" t="s" s="115">
        <v>270</v>
      </c>
      <c r="D21" t="s" s="19">
        <v>229</v>
      </c>
      <c r="E21" t="s" s="115">
        <v>271</v>
      </c>
      <c r="F21" t="s" s="115">
        <v>75</v>
      </c>
      <c r="G21" t="s" s="115">
        <v>198</v>
      </c>
      <c r="H21" s="117">
        <v>0.08</v>
      </c>
      <c r="I21" s="118">
        <v>0</v>
      </c>
      <c r="J21" t="s" s="19">
        <v>272</v>
      </c>
      <c r="K21" t="s" s="115">
        <v>31</v>
      </c>
      <c r="L21" s="119"/>
    </row>
    <row r="22" ht="15" customHeight="1">
      <c r="A22" t="s" s="14">
        <v>273</v>
      </c>
      <c r="B22" t="s" s="112">
        <v>227</v>
      </c>
      <c r="C22" t="s" s="112">
        <v>250</v>
      </c>
      <c r="D22" t="s" s="14">
        <v>229</v>
      </c>
      <c r="E22" t="s" s="112">
        <v>231</v>
      </c>
      <c r="F22" t="s" s="112">
        <v>231</v>
      </c>
      <c r="G22" t="s" s="112">
        <v>31</v>
      </c>
      <c r="H22" s="113">
        <v>0.05</v>
      </c>
      <c r="I22" s="114">
        <v>0</v>
      </c>
      <c r="J22" t="s" s="14">
        <v>274</v>
      </c>
      <c r="K22" t="s" s="112">
        <v>31</v>
      </c>
      <c r="L22" s="41"/>
    </row>
    <row r="23" ht="15" customHeight="1">
      <c r="A23" t="s" s="19">
        <v>275</v>
      </c>
      <c r="B23" t="s" s="115">
        <v>276</v>
      </c>
      <c r="C23" t="s" s="115">
        <v>228</v>
      </c>
      <c r="D23" t="s" s="19">
        <v>229</v>
      </c>
      <c r="E23" t="s" s="115">
        <v>277</v>
      </c>
      <c r="F23" t="s" s="115">
        <v>278</v>
      </c>
      <c r="G23" t="s" s="115">
        <v>31</v>
      </c>
      <c r="H23" s="117">
        <v>0.03</v>
      </c>
      <c r="I23" s="118">
        <v>0</v>
      </c>
      <c r="J23" t="s" s="19">
        <v>279</v>
      </c>
      <c r="K23" t="s" s="115">
        <v>31</v>
      </c>
      <c r="L23" t="s" s="19">
        <v>280</v>
      </c>
    </row>
    <row r="24" ht="15" customHeight="1">
      <c r="A24" t="s" s="14">
        <v>281</v>
      </c>
      <c r="B24" t="s" s="112">
        <v>282</v>
      </c>
      <c r="C24" t="s" s="112">
        <v>228</v>
      </c>
      <c r="D24" t="s" s="14">
        <v>229</v>
      </c>
      <c r="E24" t="s" s="112">
        <v>265</v>
      </c>
      <c r="F24" t="s" s="112">
        <v>75</v>
      </c>
      <c r="G24" t="s" s="112">
        <v>198</v>
      </c>
      <c r="H24" s="113">
        <v>0.05</v>
      </c>
      <c r="I24" s="114">
        <v>0</v>
      </c>
      <c r="J24" t="s" s="14">
        <v>283</v>
      </c>
      <c r="K24" t="s" s="112">
        <v>31</v>
      </c>
      <c r="L24" s="41"/>
    </row>
    <row r="25" ht="15" customHeight="1">
      <c r="A25" t="s" s="19">
        <v>284</v>
      </c>
      <c r="B25" t="s" s="115">
        <v>227</v>
      </c>
      <c r="C25" t="s" s="115">
        <v>228</v>
      </c>
      <c r="D25" t="s" s="19">
        <v>229</v>
      </c>
      <c r="E25" t="s" s="115">
        <v>231</v>
      </c>
      <c r="F25" t="s" s="115">
        <v>231</v>
      </c>
      <c r="G25" t="s" s="115">
        <v>31</v>
      </c>
      <c r="H25" s="117">
        <v>0.05</v>
      </c>
      <c r="I25" s="118">
        <v>0</v>
      </c>
      <c r="J25" t="s" s="19">
        <v>285</v>
      </c>
      <c r="K25" t="s" s="115">
        <v>31</v>
      </c>
      <c r="L25" t="s" s="19">
        <v>286</v>
      </c>
    </row>
    <row r="26" ht="15" customHeight="1">
      <c r="A26" t="s" s="14">
        <v>287</v>
      </c>
      <c r="B26" t="s" s="112">
        <v>288</v>
      </c>
      <c r="C26" t="s" s="112">
        <v>250</v>
      </c>
      <c r="D26" t="s" s="14">
        <v>229</v>
      </c>
      <c r="E26" t="s" s="112">
        <v>289</v>
      </c>
      <c r="F26" t="s" s="112">
        <v>75</v>
      </c>
      <c r="G26" t="s" s="112">
        <v>198</v>
      </c>
      <c r="H26" s="113">
        <v>0.05</v>
      </c>
      <c r="I26" s="114">
        <v>0</v>
      </c>
      <c r="J26" t="s" s="14">
        <v>290</v>
      </c>
      <c r="K26" t="s" s="112">
        <v>31</v>
      </c>
      <c r="L26" s="41"/>
    </row>
    <row r="27" ht="15" customHeight="1">
      <c r="A27" t="s" s="19">
        <v>291</v>
      </c>
      <c r="B27" t="s" s="115">
        <v>257</v>
      </c>
      <c r="C27" t="s" s="115">
        <v>270</v>
      </c>
      <c r="D27" t="s" s="19">
        <v>229</v>
      </c>
      <c r="E27" t="s" s="115">
        <v>292</v>
      </c>
      <c r="F27" t="s" s="115">
        <v>75</v>
      </c>
      <c r="G27" t="s" s="115">
        <v>198</v>
      </c>
      <c r="H27" s="117">
        <v>0.05</v>
      </c>
      <c r="I27" s="118">
        <v>0</v>
      </c>
      <c r="J27" t="s" s="19">
        <v>293</v>
      </c>
      <c r="K27" t="s" s="115">
        <v>31</v>
      </c>
      <c r="L27" s="119"/>
    </row>
    <row r="28" ht="15" customHeight="1">
      <c r="A28" t="s" s="14">
        <v>294</v>
      </c>
      <c r="B28" t="s" s="112">
        <v>295</v>
      </c>
      <c r="C28" t="s" s="112">
        <v>250</v>
      </c>
      <c r="D28" t="s" s="14">
        <v>229</v>
      </c>
      <c r="E28" t="s" s="112">
        <v>231</v>
      </c>
      <c r="F28" t="s" s="112">
        <v>231</v>
      </c>
      <c r="G28" t="s" s="112">
        <v>31</v>
      </c>
      <c r="H28" s="113">
        <v>0.05</v>
      </c>
      <c r="I28" s="114">
        <v>0</v>
      </c>
      <c r="J28" t="s" s="14">
        <v>296</v>
      </c>
      <c r="K28" t="s" s="112">
        <v>31</v>
      </c>
      <c r="L28" s="41"/>
    </row>
    <row r="29" ht="15" customHeight="1">
      <c r="A29" t="s" s="19">
        <v>297</v>
      </c>
      <c r="B29" t="s" s="115">
        <v>295</v>
      </c>
      <c r="C29" t="s" s="115">
        <v>228</v>
      </c>
      <c r="D29" t="s" s="19">
        <v>229</v>
      </c>
      <c r="E29" t="s" s="115">
        <v>231</v>
      </c>
      <c r="F29" t="s" s="115">
        <v>231</v>
      </c>
      <c r="G29" t="s" s="115">
        <v>31</v>
      </c>
      <c r="H29" s="117">
        <v>0.05</v>
      </c>
      <c r="I29" s="118">
        <v>0</v>
      </c>
      <c r="J29" t="s" s="19">
        <v>298</v>
      </c>
      <c r="K29" t="s" s="115">
        <v>31</v>
      </c>
      <c r="L29" s="119"/>
    </row>
    <row r="30" ht="15" customHeight="1">
      <c r="A30" t="s" s="14">
        <v>299</v>
      </c>
      <c r="B30" t="s" s="112">
        <v>282</v>
      </c>
      <c r="C30" t="s" s="112">
        <v>228</v>
      </c>
      <c r="D30" t="s" s="14">
        <v>229</v>
      </c>
      <c r="E30" t="s" s="112">
        <v>265</v>
      </c>
      <c r="F30" t="s" s="112">
        <v>75</v>
      </c>
      <c r="G30" t="s" s="112">
        <v>198</v>
      </c>
      <c r="H30" s="113">
        <v>0.05</v>
      </c>
      <c r="I30" s="114">
        <v>0</v>
      </c>
      <c r="J30" t="s" s="14">
        <v>300</v>
      </c>
      <c r="K30" t="s" s="112">
        <v>31</v>
      </c>
      <c r="L30" s="41"/>
    </row>
    <row r="31" ht="15" customHeight="1">
      <c r="A31" t="s" s="19">
        <v>301</v>
      </c>
      <c r="B31" t="s" s="115">
        <v>282</v>
      </c>
      <c r="C31" t="s" s="115">
        <v>228</v>
      </c>
      <c r="D31" t="s" s="19">
        <v>229</v>
      </c>
      <c r="E31" t="s" s="115">
        <v>259</v>
      </c>
      <c r="F31" t="s" s="115">
        <v>75</v>
      </c>
      <c r="G31" t="s" s="115">
        <v>198</v>
      </c>
      <c r="H31" s="117">
        <v>0.05</v>
      </c>
      <c r="I31" s="118">
        <v>0</v>
      </c>
      <c r="J31" t="s" s="19">
        <v>302</v>
      </c>
      <c r="K31" t="s" s="115">
        <v>31</v>
      </c>
      <c r="L31" s="119"/>
    </row>
    <row r="32" ht="15" customHeight="1">
      <c r="A32" t="s" s="14">
        <v>303</v>
      </c>
      <c r="B32" t="s" s="112">
        <v>257</v>
      </c>
      <c r="C32" t="s" s="112">
        <v>228</v>
      </c>
      <c r="D32" t="s" s="14">
        <v>229</v>
      </c>
      <c r="E32" t="s" s="112">
        <v>271</v>
      </c>
      <c r="F32" t="s" s="112">
        <v>75</v>
      </c>
      <c r="G32" t="s" s="112">
        <v>198</v>
      </c>
      <c r="H32" s="113">
        <v>0.05</v>
      </c>
      <c r="I32" s="114">
        <v>0</v>
      </c>
      <c r="J32" t="s" s="14">
        <v>304</v>
      </c>
      <c r="K32" t="s" s="112">
        <v>31</v>
      </c>
      <c r="L32" s="41"/>
    </row>
    <row r="33" ht="15" customHeight="1">
      <c r="A33" t="s" s="19">
        <v>305</v>
      </c>
      <c r="B33" t="s" s="115">
        <v>227</v>
      </c>
      <c r="C33" t="s" s="115">
        <v>228</v>
      </c>
      <c r="D33" t="s" s="19">
        <v>229</v>
      </c>
      <c r="E33" t="s" s="115">
        <v>231</v>
      </c>
      <c r="F33" t="s" s="115">
        <v>231</v>
      </c>
      <c r="G33" t="s" s="115">
        <v>31</v>
      </c>
      <c r="H33" s="117">
        <v>0.05</v>
      </c>
      <c r="I33" s="118">
        <v>0</v>
      </c>
      <c r="J33" t="s" s="19">
        <v>306</v>
      </c>
      <c r="K33" t="s" s="115">
        <v>31</v>
      </c>
      <c r="L33" t="s" s="19">
        <v>307</v>
      </c>
    </row>
    <row r="34" ht="15" customHeight="1">
      <c r="A34" t="s" s="14">
        <v>308</v>
      </c>
      <c r="B34" t="s" s="112">
        <v>257</v>
      </c>
      <c r="C34" t="s" s="112">
        <v>228</v>
      </c>
      <c r="D34" t="s" s="14">
        <v>229</v>
      </c>
      <c r="E34" t="s" s="112">
        <v>271</v>
      </c>
      <c r="F34" t="s" s="112">
        <v>75</v>
      </c>
      <c r="G34" t="s" s="112">
        <v>198</v>
      </c>
      <c r="H34" s="113">
        <v>0.05</v>
      </c>
      <c r="I34" s="114">
        <v>0</v>
      </c>
      <c r="J34" t="s" s="14">
        <v>309</v>
      </c>
      <c r="K34" t="s" s="112">
        <v>31</v>
      </c>
      <c r="L34" s="41"/>
    </row>
    <row r="35" ht="15" customHeight="1">
      <c r="A35" t="s" s="19">
        <v>310</v>
      </c>
      <c r="B35" t="s" s="115">
        <v>257</v>
      </c>
      <c r="C35" t="s" s="115">
        <v>228</v>
      </c>
      <c r="D35" t="s" s="19">
        <v>229</v>
      </c>
      <c r="E35" t="s" s="115">
        <v>259</v>
      </c>
      <c r="F35" t="s" s="115">
        <v>75</v>
      </c>
      <c r="G35" t="s" s="115">
        <v>198</v>
      </c>
      <c r="H35" s="117">
        <v>0.05</v>
      </c>
      <c r="I35" s="118">
        <v>0</v>
      </c>
      <c r="J35" t="s" s="19">
        <v>311</v>
      </c>
      <c r="K35" t="s" s="115">
        <v>31</v>
      </c>
      <c r="L35" s="119"/>
    </row>
    <row r="36" ht="15" customHeight="1">
      <c r="A36" t="s" s="14">
        <v>312</v>
      </c>
      <c r="B36" t="s" s="112">
        <v>282</v>
      </c>
      <c r="C36" t="s" s="112">
        <v>250</v>
      </c>
      <c r="D36" t="s" s="14">
        <v>229</v>
      </c>
      <c r="E36" t="s" s="112">
        <v>259</v>
      </c>
      <c r="F36" t="s" s="112">
        <v>75</v>
      </c>
      <c r="G36" t="s" s="112">
        <v>198</v>
      </c>
      <c r="H36" s="113">
        <v>0.05</v>
      </c>
      <c r="I36" s="114">
        <v>0</v>
      </c>
      <c r="J36" t="s" s="14">
        <v>313</v>
      </c>
      <c r="K36" t="s" s="112">
        <v>31</v>
      </c>
      <c r="L36" s="41"/>
    </row>
    <row r="37" ht="15" customHeight="1">
      <c r="A37" t="s" s="19">
        <v>314</v>
      </c>
      <c r="B37" t="s" s="115">
        <v>227</v>
      </c>
      <c r="C37" t="s" s="115">
        <v>228</v>
      </c>
      <c r="D37" t="s" s="19">
        <v>229</v>
      </c>
      <c r="E37" t="s" s="115">
        <v>231</v>
      </c>
      <c r="F37" t="s" s="115">
        <v>231</v>
      </c>
      <c r="G37" t="s" s="115">
        <v>31</v>
      </c>
      <c r="H37" s="117">
        <v>0.05</v>
      </c>
      <c r="I37" s="118">
        <v>0</v>
      </c>
      <c r="J37" t="s" s="19">
        <v>315</v>
      </c>
      <c r="K37" t="s" s="115">
        <v>31</v>
      </c>
      <c r="L37" s="119"/>
    </row>
    <row r="38" ht="15" customHeight="1">
      <c r="A38" t="s" s="14">
        <v>316</v>
      </c>
      <c r="B38" t="s" s="112">
        <v>317</v>
      </c>
      <c r="C38" t="s" s="112">
        <v>228</v>
      </c>
      <c r="D38" t="s" s="14">
        <v>229</v>
      </c>
      <c r="E38" t="s" s="112">
        <v>318</v>
      </c>
      <c r="F38" t="s" s="112">
        <v>75</v>
      </c>
      <c r="G38" t="s" s="112">
        <v>198</v>
      </c>
      <c r="H38" s="113">
        <v>0.05</v>
      </c>
      <c r="I38" s="114">
        <v>0</v>
      </c>
      <c r="J38" t="s" s="14">
        <v>319</v>
      </c>
      <c r="K38" t="s" s="112">
        <v>31</v>
      </c>
      <c r="L38" t="s" s="14">
        <v>320</v>
      </c>
    </row>
    <row r="39" ht="15" customHeight="1">
      <c r="A39" t="s" s="19">
        <v>321</v>
      </c>
      <c r="B39" t="s" s="115">
        <v>317</v>
      </c>
      <c r="C39" t="s" s="115">
        <v>250</v>
      </c>
      <c r="D39" t="s" s="19">
        <v>229</v>
      </c>
      <c r="E39" t="s" s="115">
        <v>318</v>
      </c>
      <c r="F39" t="s" s="115">
        <v>75</v>
      </c>
      <c r="G39" t="s" s="115">
        <v>198</v>
      </c>
      <c r="H39" s="117">
        <v>0.05</v>
      </c>
      <c r="I39" s="118">
        <v>0</v>
      </c>
      <c r="J39" t="s" s="19">
        <v>322</v>
      </c>
      <c r="K39" t="s" s="115">
        <v>31</v>
      </c>
      <c r="L39" s="119"/>
    </row>
    <row r="40" ht="15" customHeight="1">
      <c r="A40" t="s" s="14">
        <v>323</v>
      </c>
      <c r="B40" t="s" s="112">
        <v>317</v>
      </c>
      <c r="C40" t="s" s="112">
        <v>270</v>
      </c>
      <c r="D40" t="s" s="14">
        <v>229</v>
      </c>
      <c r="E40" t="s" s="112">
        <v>318</v>
      </c>
      <c r="F40" t="s" s="112">
        <v>75</v>
      </c>
      <c r="G40" t="s" s="112">
        <v>198</v>
      </c>
      <c r="H40" s="113">
        <v>0.05</v>
      </c>
      <c r="I40" s="114">
        <v>0</v>
      </c>
      <c r="J40" t="s" s="14">
        <v>324</v>
      </c>
      <c r="K40" t="s" s="112">
        <v>31</v>
      </c>
      <c r="L40" s="41"/>
    </row>
    <row r="41" ht="15" customHeight="1">
      <c r="A41" t="s" s="19">
        <v>325</v>
      </c>
      <c r="B41" t="s" s="115">
        <v>326</v>
      </c>
      <c r="C41" t="s" s="115">
        <v>327</v>
      </c>
      <c r="D41" t="s" s="19">
        <v>229</v>
      </c>
      <c r="E41" t="s" s="115">
        <v>318</v>
      </c>
      <c r="F41" t="s" s="115">
        <v>75</v>
      </c>
      <c r="G41" t="s" s="115">
        <v>198</v>
      </c>
      <c r="H41" s="117">
        <v>0.05</v>
      </c>
      <c r="I41" s="118">
        <v>0</v>
      </c>
      <c r="J41" t="s" s="19">
        <v>328</v>
      </c>
      <c r="K41" t="s" s="115">
        <v>31</v>
      </c>
      <c r="L41" s="119"/>
    </row>
    <row r="42" ht="15" customHeight="1">
      <c r="A42" t="s" s="14">
        <v>329</v>
      </c>
      <c r="B42" t="s" s="112">
        <v>282</v>
      </c>
      <c r="C42" t="s" s="112">
        <v>228</v>
      </c>
      <c r="D42" t="s" s="14">
        <v>229</v>
      </c>
      <c r="E42" t="s" s="112">
        <v>277</v>
      </c>
      <c r="F42" t="s" s="112">
        <v>75</v>
      </c>
      <c r="G42" t="s" s="112">
        <v>198</v>
      </c>
      <c r="H42" s="113">
        <v>0.03</v>
      </c>
      <c r="I42" s="114">
        <v>0</v>
      </c>
      <c r="J42" t="s" s="14">
        <v>330</v>
      </c>
      <c r="K42" t="s" s="112">
        <v>31</v>
      </c>
      <c r="L42" t="s" s="14">
        <v>331</v>
      </c>
    </row>
    <row r="43" ht="15" customHeight="1">
      <c r="A43" t="s" s="19">
        <v>332</v>
      </c>
      <c r="B43" t="s" s="115">
        <v>257</v>
      </c>
      <c r="C43" t="s" s="115">
        <v>228</v>
      </c>
      <c r="D43" t="s" s="19">
        <v>229</v>
      </c>
      <c r="E43" t="s" s="115">
        <v>271</v>
      </c>
      <c r="F43" t="s" s="115">
        <v>75</v>
      </c>
      <c r="G43" t="s" s="115">
        <v>198</v>
      </c>
      <c r="H43" s="117">
        <v>0.05</v>
      </c>
      <c r="I43" s="118">
        <v>0</v>
      </c>
      <c r="J43" t="s" s="19">
        <v>333</v>
      </c>
      <c r="K43" t="s" s="115">
        <v>31</v>
      </c>
      <c r="L43" s="119"/>
    </row>
    <row r="44" ht="15" customHeight="1">
      <c r="A44" t="s" s="14">
        <v>334</v>
      </c>
      <c r="B44" t="s" s="112">
        <v>282</v>
      </c>
      <c r="C44" t="s" s="112">
        <v>270</v>
      </c>
      <c r="D44" t="s" s="14">
        <v>229</v>
      </c>
      <c r="E44" t="s" s="112">
        <v>277</v>
      </c>
      <c r="F44" t="s" s="112">
        <v>75</v>
      </c>
      <c r="G44" t="s" s="112">
        <v>198</v>
      </c>
      <c r="H44" s="113">
        <v>0.03</v>
      </c>
      <c r="I44" s="114">
        <v>0</v>
      </c>
      <c r="J44" t="s" s="14">
        <v>335</v>
      </c>
      <c r="K44" t="s" s="112">
        <v>31</v>
      </c>
      <c r="L44" s="41"/>
    </row>
    <row r="45" ht="15" customHeight="1">
      <c r="A45" t="s" s="19">
        <v>336</v>
      </c>
      <c r="B45" t="s" s="115">
        <v>295</v>
      </c>
      <c r="C45" t="s" s="115">
        <v>337</v>
      </c>
      <c r="D45" t="s" s="19">
        <v>229</v>
      </c>
      <c r="E45" t="s" s="115">
        <v>231</v>
      </c>
      <c r="F45" t="s" s="115">
        <v>231</v>
      </c>
      <c r="G45" t="s" s="115">
        <v>31</v>
      </c>
      <c r="H45" s="117">
        <v>0.05</v>
      </c>
      <c r="I45" s="118">
        <v>0</v>
      </c>
      <c r="J45" t="s" s="19">
        <v>338</v>
      </c>
      <c r="K45" t="s" s="115">
        <v>31</v>
      </c>
      <c r="L45" s="119"/>
    </row>
    <row r="46" ht="15" customHeight="1">
      <c r="A46" t="s" s="14">
        <v>339</v>
      </c>
      <c r="B46" t="s" s="112">
        <v>282</v>
      </c>
      <c r="C46" s="120"/>
      <c r="D46" t="s" s="14">
        <v>229</v>
      </c>
      <c r="E46" t="s" s="112">
        <v>271</v>
      </c>
      <c r="F46" t="s" s="112">
        <v>75</v>
      </c>
      <c r="G46" t="s" s="112">
        <v>198</v>
      </c>
      <c r="H46" s="113">
        <v>0.05</v>
      </c>
      <c r="I46" s="114">
        <v>0</v>
      </c>
      <c r="J46" t="s" s="14">
        <v>340</v>
      </c>
      <c r="K46" t="s" s="112">
        <v>31</v>
      </c>
      <c r="L46" s="41"/>
    </row>
    <row r="47" ht="15" customHeight="1">
      <c r="A47" t="s" s="19">
        <v>341</v>
      </c>
      <c r="B47" t="s" s="115">
        <v>288</v>
      </c>
      <c r="C47" t="s" s="115">
        <v>250</v>
      </c>
      <c r="D47" t="s" s="19">
        <v>229</v>
      </c>
      <c r="E47" t="s" s="115">
        <v>289</v>
      </c>
      <c r="F47" t="s" s="115">
        <v>75</v>
      </c>
      <c r="G47" t="s" s="115">
        <v>198</v>
      </c>
      <c r="H47" s="117">
        <v>0.05</v>
      </c>
      <c r="I47" s="118">
        <v>0</v>
      </c>
      <c r="J47" t="s" s="19">
        <v>342</v>
      </c>
      <c r="K47" t="s" s="115">
        <v>31</v>
      </c>
      <c r="L47" s="119"/>
    </row>
    <row r="48" ht="15" customHeight="1">
      <c r="A48" t="s" s="14">
        <v>343</v>
      </c>
      <c r="B48" t="s" s="112">
        <v>288</v>
      </c>
      <c r="C48" t="s" s="112">
        <v>241</v>
      </c>
      <c r="D48" t="s" s="14">
        <v>229</v>
      </c>
      <c r="E48" t="s" s="112">
        <v>289</v>
      </c>
      <c r="F48" t="s" s="112">
        <v>75</v>
      </c>
      <c r="G48" t="s" s="112">
        <v>198</v>
      </c>
      <c r="H48" s="113">
        <v>0.05</v>
      </c>
      <c r="I48" s="114">
        <v>0</v>
      </c>
      <c r="J48" t="s" s="14">
        <v>344</v>
      </c>
      <c r="K48" t="s" s="112">
        <v>31</v>
      </c>
      <c r="L48" s="41"/>
    </row>
    <row r="49" ht="15" customHeight="1">
      <c r="A49" t="s" s="19">
        <v>345</v>
      </c>
      <c r="B49" t="s" s="115">
        <v>71</v>
      </c>
      <c r="C49" t="s" s="115">
        <v>228</v>
      </c>
      <c r="D49" t="s" s="19">
        <v>229</v>
      </c>
      <c r="E49" t="s" s="115">
        <v>71</v>
      </c>
      <c r="F49" t="s" s="115">
        <v>71</v>
      </c>
      <c r="G49" t="s" s="115">
        <v>31</v>
      </c>
      <c r="H49" s="117">
        <v>0.05</v>
      </c>
      <c r="I49" s="118">
        <v>0</v>
      </c>
      <c r="J49" t="s" s="19">
        <v>346</v>
      </c>
      <c r="K49" t="s" s="115">
        <v>31</v>
      </c>
      <c r="L49" t="s" s="19">
        <v>347</v>
      </c>
    </row>
    <row r="50" ht="15" customHeight="1">
      <c r="A50" t="s" s="14">
        <v>348</v>
      </c>
      <c r="B50" t="s" s="112">
        <v>349</v>
      </c>
      <c r="C50" t="s" s="112">
        <v>228</v>
      </c>
      <c r="D50" t="s" s="14">
        <v>229</v>
      </c>
      <c r="E50" t="s" s="112">
        <v>318</v>
      </c>
      <c r="F50" t="s" s="112">
        <v>75</v>
      </c>
      <c r="G50" t="s" s="112">
        <v>198</v>
      </c>
      <c r="H50" s="113">
        <v>0.05</v>
      </c>
      <c r="I50" s="114">
        <v>0</v>
      </c>
      <c r="J50" t="s" s="14">
        <v>350</v>
      </c>
      <c r="K50" t="s" s="112">
        <v>31</v>
      </c>
      <c r="L50" s="41"/>
    </row>
    <row r="51" ht="15" customHeight="1">
      <c r="A51" t="s" s="19">
        <v>351</v>
      </c>
      <c r="B51" t="s" s="115">
        <v>257</v>
      </c>
      <c r="C51" t="s" s="115">
        <v>228</v>
      </c>
      <c r="D51" t="s" s="19">
        <v>229</v>
      </c>
      <c r="E51" t="s" s="115">
        <v>271</v>
      </c>
      <c r="F51" t="s" s="115">
        <v>75</v>
      </c>
      <c r="G51" t="s" s="115">
        <v>198</v>
      </c>
      <c r="H51" s="117">
        <v>0.05</v>
      </c>
      <c r="I51" s="118">
        <v>0</v>
      </c>
      <c r="J51" t="s" s="19">
        <v>352</v>
      </c>
      <c r="K51" t="s" s="115">
        <v>31</v>
      </c>
      <c r="L51" s="119"/>
    </row>
    <row r="52" ht="15" customHeight="1">
      <c r="A52" t="s" s="14">
        <v>353</v>
      </c>
      <c r="B52" t="s" s="112">
        <v>354</v>
      </c>
      <c r="C52" s="120"/>
      <c r="D52" t="s" s="14">
        <v>229</v>
      </c>
      <c r="E52" t="s" s="112">
        <v>259</v>
      </c>
      <c r="F52" t="s" s="112">
        <v>75</v>
      </c>
      <c r="G52" t="s" s="112">
        <v>198</v>
      </c>
      <c r="H52" s="113">
        <v>0.05</v>
      </c>
      <c r="I52" s="114">
        <v>0</v>
      </c>
      <c r="J52" t="s" s="14">
        <v>355</v>
      </c>
      <c r="K52" t="s" s="112">
        <v>31</v>
      </c>
      <c r="L52" s="41"/>
    </row>
    <row r="53" ht="15" customHeight="1">
      <c r="A53" t="s" s="19">
        <v>356</v>
      </c>
      <c r="B53" t="s" s="115">
        <v>227</v>
      </c>
      <c r="C53" t="s" s="115">
        <v>228</v>
      </c>
      <c r="D53" t="s" s="19">
        <v>229</v>
      </c>
      <c r="E53" t="s" s="115">
        <v>231</v>
      </c>
      <c r="F53" t="s" s="115">
        <v>231</v>
      </c>
      <c r="G53" t="s" s="115">
        <v>31</v>
      </c>
      <c r="H53" s="117">
        <v>0.05</v>
      </c>
      <c r="I53" s="118">
        <v>0</v>
      </c>
      <c r="J53" t="s" s="19">
        <v>357</v>
      </c>
      <c r="K53" t="s" s="115">
        <v>31</v>
      </c>
      <c r="L53" s="119"/>
    </row>
    <row r="54" ht="15" customHeight="1">
      <c r="A54" t="s" s="14">
        <v>358</v>
      </c>
      <c r="B54" t="s" s="112">
        <v>317</v>
      </c>
      <c r="C54" t="s" s="112">
        <v>250</v>
      </c>
      <c r="D54" t="s" s="14">
        <v>229</v>
      </c>
      <c r="E54" t="s" s="112">
        <v>318</v>
      </c>
      <c r="F54" t="s" s="112">
        <v>75</v>
      </c>
      <c r="G54" t="s" s="112">
        <v>198</v>
      </c>
      <c r="H54" s="113">
        <v>0.05</v>
      </c>
      <c r="I54" s="114">
        <v>0</v>
      </c>
      <c r="J54" t="s" s="14">
        <v>359</v>
      </c>
      <c r="K54" t="s" s="112">
        <v>31</v>
      </c>
      <c r="L54" s="41"/>
    </row>
    <row r="55" ht="15" customHeight="1">
      <c r="A55" t="s" s="19">
        <v>360</v>
      </c>
      <c r="B55" t="s" s="115">
        <v>257</v>
      </c>
      <c r="C55" s="116"/>
      <c r="D55" t="s" s="19">
        <v>229</v>
      </c>
      <c r="E55" t="s" s="115">
        <v>271</v>
      </c>
      <c r="F55" t="s" s="115">
        <v>75</v>
      </c>
      <c r="G55" t="s" s="115">
        <v>198</v>
      </c>
      <c r="H55" s="117">
        <v>0.05</v>
      </c>
      <c r="I55" s="118">
        <v>0</v>
      </c>
      <c r="J55" t="s" s="19">
        <v>361</v>
      </c>
      <c r="K55" t="s" s="115">
        <v>31</v>
      </c>
      <c r="L55" s="119"/>
    </row>
    <row r="56" ht="15" customHeight="1">
      <c r="A56" t="s" s="14">
        <v>362</v>
      </c>
      <c r="B56" t="s" s="112">
        <v>282</v>
      </c>
      <c r="C56" t="s" s="112">
        <v>270</v>
      </c>
      <c r="D56" t="s" s="14">
        <v>229</v>
      </c>
      <c r="E56" t="s" s="112">
        <v>259</v>
      </c>
      <c r="F56" t="s" s="112">
        <v>75</v>
      </c>
      <c r="G56" t="s" s="112">
        <v>198</v>
      </c>
      <c r="H56" s="113">
        <v>0.05</v>
      </c>
      <c r="I56" s="114">
        <v>0</v>
      </c>
      <c r="J56" t="s" s="14">
        <v>363</v>
      </c>
      <c r="K56" t="s" s="112">
        <v>31</v>
      </c>
      <c r="L56" s="41"/>
    </row>
    <row r="57" ht="15" customHeight="1">
      <c r="A57" t="s" s="19">
        <v>364</v>
      </c>
      <c r="B57" t="s" s="115">
        <v>365</v>
      </c>
      <c r="C57" s="116"/>
      <c r="D57" t="s" s="19">
        <v>229</v>
      </c>
      <c r="E57" t="s" s="115">
        <v>265</v>
      </c>
      <c r="F57" t="s" s="115">
        <v>75</v>
      </c>
      <c r="G57" t="s" s="115">
        <v>198</v>
      </c>
      <c r="H57" s="117">
        <v>0.05</v>
      </c>
      <c r="I57" s="118">
        <v>0</v>
      </c>
      <c r="J57" t="s" s="19">
        <v>366</v>
      </c>
      <c r="K57" t="s" s="115">
        <v>31</v>
      </c>
      <c r="L57" s="119"/>
    </row>
    <row r="58" ht="15" customHeight="1">
      <c r="A58" t="s" s="14">
        <v>367</v>
      </c>
      <c r="B58" t="s" s="112">
        <v>227</v>
      </c>
      <c r="C58" t="s" s="112">
        <v>270</v>
      </c>
      <c r="D58" t="s" s="14">
        <v>229</v>
      </c>
      <c r="E58" t="s" s="112">
        <v>231</v>
      </c>
      <c r="F58" t="s" s="112">
        <v>231</v>
      </c>
      <c r="G58" t="s" s="112">
        <v>31</v>
      </c>
      <c r="H58" s="113">
        <v>0.02</v>
      </c>
      <c r="I58" s="114">
        <v>0</v>
      </c>
      <c r="J58" t="s" s="14">
        <v>368</v>
      </c>
      <c r="K58" t="s" s="112">
        <v>31</v>
      </c>
      <c r="L58" s="41"/>
    </row>
  </sheetData>
  <mergeCells count="4">
    <mergeCell ref="A1:L1"/>
    <mergeCell ref="A2:L2"/>
    <mergeCell ref="A4:L4"/>
    <mergeCell ref="A9:L9"/>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